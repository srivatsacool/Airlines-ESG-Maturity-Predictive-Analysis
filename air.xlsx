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shiva\"/>
    </mc:Choice>
  </mc:AlternateContent>
  <xr:revisionPtr revIDLastSave="0" documentId="8_{BF12066F-E679-450B-AB56-A1919DB2A9A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NV" sheetId="2" r:id="rId1"/>
    <sheet name="Social" sheetId="4" r:id="rId2"/>
    <sheet name="Govern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0" i="2" l="1"/>
  <c r="G120" i="2"/>
  <c r="P27" i="2"/>
  <c r="G124" i="2"/>
  <c r="Q65" i="2"/>
  <c r="X107" i="2"/>
  <c r="N107" i="2"/>
  <c r="O110" i="2"/>
  <c r="T77" i="2"/>
  <c r="Q93" i="2"/>
  <c r="J77" i="2"/>
  <c r="K123" i="2"/>
  <c r="G127" i="2"/>
  <c r="Y110" i="2"/>
  <c r="S77" i="2"/>
  <c r="K93" i="2"/>
  <c r="K127" i="2"/>
  <c r="X123" i="2"/>
  <c r="J120" i="2"/>
  <c r="Y93" i="2"/>
  <c r="Y127" i="2"/>
  <c r="Y124" i="2"/>
  <c r="S127" i="2"/>
  <c r="T107" i="2"/>
  <c r="O77" i="2"/>
  <c r="J124" i="2"/>
  <c r="J123" i="2"/>
  <c r="O27" i="2"/>
  <c r="Q123" i="2"/>
  <c r="G77" i="2"/>
  <c r="S107" i="2"/>
  <c r="X27" i="2"/>
  <c r="P77" i="2"/>
  <c r="T124" i="2"/>
  <c r="T27" i="2"/>
  <c r="G93" i="2"/>
  <c r="X77" i="2"/>
  <c r="J110" i="2"/>
  <c r="T120" i="2"/>
  <c r="Q124" i="2"/>
  <c r="O65" i="2"/>
  <c r="T127" i="2"/>
  <c r="N65" i="2"/>
  <c r="Y27" i="2"/>
  <c r="P123" i="2"/>
  <c r="T65" i="2"/>
  <c r="Y123" i="2"/>
  <c r="S65" i="2"/>
  <c r="J107" i="2"/>
  <c r="J65" i="2"/>
  <c r="X124" i="2"/>
  <c r="O93" i="2"/>
  <c r="P65" i="2"/>
  <c r="T93" i="2"/>
  <c r="S124" i="2"/>
  <c r="P107" i="2"/>
  <c r="N93" i="2"/>
  <c r="K124" i="2"/>
  <c r="N27" i="2"/>
  <c r="X127" i="2"/>
  <c r="Y120" i="2"/>
  <c r="X110" i="2"/>
  <c r="N127" i="2"/>
  <c r="K27" i="2"/>
  <c r="G65" i="2"/>
  <c r="P120" i="2"/>
  <c r="O127" i="2"/>
  <c r="S123" i="2"/>
  <c r="N77" i="2"/>
  <c r="P127" i="2"/>
  <c r="G27" i="2"/>
  <c r="O124" i="2"/>
  <c r="J93" i="2"/>
  <c r="P93" i="2"/>
  <c r="K110" i="2"/>
  <c r="X120" i="2"/>
  <c r="K65" i="2"/>
  <c r="Y77" i="2"/>
  <c r="Q110" i="2"/>
  <c r="T110" i="2"/>
  <c r="S27" i="2"/>
  <c r="N123" i="2"/>
  <c r="N120" i="2"/>
  <c r="Q107" i="2"/>
  <c r="G107" i="2"/>
  <c r="N110" i="2"/>
  <c r="J127" i="2"/>
  <c r="G110" i="2"/>
  <c r="T123" i="2"/>
  <c r="O107" i="2"/>
  <c r="X93" i="2"/>
  <c r="P110" i="2"/>
  <c r="O123" i="2"/>
  <c r="J27" i="2"/>
  <c r="K77" i="2"/>
  <c r="N124" i="2"/>
  <c r="X65" i="2"/>
  <c r="Q120" i="2"/>
  <c r="Y65" i="2"/>
  <c r="P124" i="2"/>
  <c r="S93" i="2"/>
  <c r="S110" i="2"/>
  <c r="Q27" i="2"/>
  <c r="G123" i="2"/>
  <c r="K120" i="2"/>
  <c r="K107" i="2"/>
  <c r="Q127" i="2"/>
  <c r="Y107" i="2"/>
  <c r="Q77" i="2"/>
  <c r="O120" i="2"/>
  <c r="Y102" i="2"/>
  <c r="P63" i="2"/>
  <c r="K145" i="2"/>
  <c r="Q145" i="2"/>
  <c r="P88" i="2"/>
  <c r="X6" i="2"/>
  <c r="K63" i="2"/>
  <c r="O26" i="2"/>
  <c r="S88" i="2"/>
  <c r="Q24" i="2"/>
  <c r="S63" i="2"/>
  <c r="G6" i="2"/>
  <c r="J145" i="2"/>
  <c r="N105" i="2"/>
  <c r="X24" i="2"/>
  <c r="J105" i="2"/>
  <c r="T105" i="2"/>
  <c r="X88" i="2"/>
  <c r="T24" i="2"/>
  <c r="S56" i="2"/>
  <c r="P34" i="2"/>
  <c r="N102" i="2"/>
  <c r="X34" i="2"/>
  <c r="N88" i="2"/>
  <c r="G145" i="2"/>
  <c r="O102" i="2"/>
  <c r="K34" i="2"/>
  <c r="P102" i="2"/>
  <c r="T6" i="2"/>
  <c r="P105" i="2"/>
  <c r="G102" i="2"/>
  <c r="J34" i="2"/>
  <c r="X63" i="2"/>
  <c r="T34" i="2"/>
  <c r="Q34" i="2"/>
  <c r="N26" i="2"/>
  <c r="K6" i="2"/>
  <c r="S24" i="2"/>
  <c r="Q102" i="2"/>
  <c r="S105" i="2"/>
  <c r="T102" i="2"/>
  <c r="J102" i="2"/>
  <c r="K102" i="2"/>
  <c r="S26" i="2"/>
  <c r="J24" i="2"/>
  <c r="X26" i="2"/>
  <c r="K88" i="2"/>
  <c r="N56" i="2"/>
  <c r="Q26" i="2"/>
  <c r="G105" i="2"/>
  <c r="T145" i="2"/>
  <c r="O63" i="2"/>
  <c r="P26" i="2"/>
  <c r="Y56" i="2"/>
  <c r="Y63" i="2"/>
  <c r="O145" i="2"/>
  <c r="O56" i="2"/>
  <c r="G34" i="2"/>
  <c r="Y26" i="2"/>
  <c r="Y24" i="2"/>
  <c r="N24" i="2"/>
  <c r="J26" i="2"/>
  <c r="X145" i="2"/>
  <c r="X56" i="2"/>
  <c r="Q6" i="2"/>
  <c r="P6" i="2"/>
  <c r="Y6" i="2"/>
  <c r="K26" i="2"/>
  <c r="O6" i="2"/>
  <c r="G24" i="2"/>
  <c r="Q88" i="2"/>
  <c r="N63" i="2"/>
  <c r="Q105" i="2"/>
  <c r="Q63" i="2"/>
  <c r="T63" i="2"/>
  <c r="T26" i="2"/>
  <c r="O34" i="2"/>
  <c r="Y34" i="2"/>
  <c r="S6" i="2"/>
  <c r="Y105" i="2"/>
  <c r="G63" i="2"/>
  <c r="N6" i="2"/>
  <c r="S145" i="2"/>
  <c r="Y145" i="2"/>
  <c r="Q56" i="2"/>
  <c r="J88" i="2"/>
  <c r="P24" i="2"/>
  <c r="N145" i="2"/>
  <c r="K24" i="2"/>
  <c r="X105" i="2"/>
  <c r="T88" i="2"/>
  <c r="P56" i="2"/>
  <c r="G88" i="2"/>
  <c r="O105" i="2"/>
  <c r="J56" i="2"/>
  <c r="O88" i="2"/>
  <c r="G56" i="2"/>
  <c r="K56" i="2"/>
  <c r="S102" i="2"/>
  <c r="S34" i="2"/>
  <c r="Y88" i="2"/>
  <c r="J6" i="2"/>
  <c r="J63" i="2"/>
  <c r="G26" i="2"/>
  <c r="T56" i="2"/>
  <c r="K105" i="2"/>
  <c r="N34" i="2"/>
  <c r="O24" i="2"/>
  <c r="P145" i="2"/>
  <c r="X102" i="2"/>
  <c r="G159" i="2"/>
  <c r="G144" i="2"/>
  <c r="Y130" i="2"/>
  <c r="O159" i="2"/>
  <c r="P15" i="2"/>
  <c r="X11" i="2"/>
  <c r="N159" i="2"/>
  <c r="Y158" i="2"/>
  <c r="T15" i="2"/>
  <c r="J130" i="2"/>
  <c r="O84" i="2"/>
  <c r="T84" i="2"/>
  <c r="Q81" i="2"/>
  <c r="G15" i="2"/>
  <c r="S158" i="2"/>
  <c r="S15" i="2"/>
  <c r="G62" i="2"/>
  <c r="K158" i="2"/>
  <c r="N15" i="2"/>
  <c r="T130" i="2"/>
  <c r="Q158" i="2"/>
  <c r="X84" i="2"/>
  <c r="X138" i="2"/>
  <c r="P130" i="2"/>
  <c r="J62" i="2"/>
  <c r="K130" i="2"/>
  <c r="G158" i="2"/>
  <c r="Y159" i="2"/>
  <c r="P144" i="2"/>
  <c r="P159" i="2"/>
  <c r="Q138" i="2"/>
  <c r="T159" i="2"/>
  <c r="S138" i="2"/>
  <c r="P62" i="2"/>
  <c r="K84" i="2"/>
  <c r="Q159" i="2"/>
  <c r="T81" i="2"/>
  <c r="P11" i="2"/>
  <c r="Y144" i="2"/>
  <c r="J144" i="2"/>
  <c r="G81" i="2"/>
  <c r="G130" i="2"/>
  <c r="O130" i="2"/>
  <c r="P84" i="2"/>
  <c r="N11" i="2"/>
  <c r="N81" i="2"/>
  <c r="O144" i="2"/>
  <c r="O81" i="2"/>
  <c r="O11" i="2"/>
  <c r="T62" i="2"/>
  <c r="T144" i="2"/>
  <c r="X144" i="2"/>
  <c r="Y15" i="2"/>
  <c r="K62" i="2"/>
  <c r="X15" i="2"/>
  <c r="J84" i="2"/>
  <c r="K138" i="2"/>
  <c r="O158" i="2"/>
  <c r="J11" i="2"/>
  <c r="P158" i="2"/>
  <c r="N144" i="2"/>
  <c r="T11" i="2"/>
  <c r="N158" i="2"/>
  <c r="X81" i="2"/>
  <c r="Q11" i="2"/>
  <c r="N62" i="2"/>
  <c r="J138" i="2"/>
  <c r="S11" i="2"/>
  <c r="J158" i="2"/>
  <c r="T158" i="2"/>
  <c r="J15" i="2"/>
  <c r="S159" i="2"/>
  <c r="G138" i="2"/>
  <c r="S81" i="2"/>
  <c r="Y84" i="2"/>
  <c r="Y138" i="2"/>
  <c r="N130" i="2"/>
  <c r="S84" i="2"/>
  <c r="P81" i="2"/>
  <c r="O138" i="2"/>
  <c r="T138" i="2"/>
  <c r="Q144" i="2"/>
  <c r="S130" i="2"/>
  <c r="N138" i="2"/>
  <c r="S62" i="2"/>
  <c r="G11" i="2"/>
  <c r="J81" i="2"/>
  <c r="N84" i="2"/>
  <c r="O62" i="2"/>
  <c r="Y11" i="2"/>
  <c r="Q130" i="2"/>
  <c r="K15" i="2"/>
  <c r="S144" i="2"/>
  <c r="Q15" i="2"/>
  <c r="Y62" i="2"/>
  <c r="K81" i="2"/>
  <c r="Q84" i="2"/>
  <c r="Q62" i="2"/>
  <c r="J159" i="2"/>
  <c r="X159" i="2"/>
  <c r="K11" i="2"/>
  <c r="X130" i="2"/>
  <c r="K144" i="2"/>
  <c r="G84" i="2"/>
  <c r="P138" i="2"/>
  <c r="X158" i="2"/>
  <c r="K159" i="2"/>
  <c r="O15" i="2"/>
  <c r="Y81" i="2"/>
  <c r="X62" i="2"/>
  <c r="Y162" i="2"/>
  <c r="X101" i="2"/>
  <c r="J101" i="2"/>
  <c r="P52" i="2"/>
  <c r="Y52" i="2"/>
  <c r="J99" i="2"/>
  <c r="N161" i="2"/>
  <c r="N156" i="2"/>
  <c r="X156" i="2"/>
  <c r="S86" i="2"/>
  <c r="G152" i="2"/>
  <c r="J162" i="2"/>
  <c r="G86" i="2"/>
  <c r="T152" i="2"/>
  <c r="Q152" i="2"/>
  <c r="S152" i="2"/>
  <c r="X86" i="2"/>
  <c r="O99" i="2"/>
  <c r="O86" i="2"/>
  <c r="P152" i="2"/>
  <c r="N99" i="2"/>
  <c r="Q52" i="2"/>
  <c r="O52" i="2"/>
  <c r="G162" i="2"/>
  <c r="P100" i="2"/>
  <c r="Q20" i="2"/>
  <c r="N152" i="2"/>
  <c r="N101" i="2"/>
  <c r="S156" i="2"/>
  <c r="Q161" i="2"/>
  <c r="P161" i="2"/>
  <c r="Y86" i="2"/>
  <c r="Q101" i="2"/>
  <c r="J161" i="2"/>
  <c r="K86" i="2"/>
  <c r="K152" i="2"/>
  <c r="K101" i="2"/>
  <c r="P162" i="2"/>
  <c r="T100" i="2"/>
  <c r="K52" i="2"/>
  <c r="O156" i="2"/>
  <c r="Y152" i="2"/>
  <c r="T156" i="2"/>
  <c r="Q86" i="2"/>
  <c r="T52" i="2"/>
  <c r="Q162" i="2"/>
  <c r="S52" i="2"/>
  <c r="Q99" i="2"/>
  <c r="J86" i="2"/>
  <c r="G100" i="2"/>
  <c r="K156" i="2"/>
  <c r="J52" i="2"/>
  <c r="X162" i="2"/>
  <c r="X100" i="2"/>
  <c r="S100" i="2"/>
  <c r="J152" i="2"/>
  <c r="T162" i="2"/>
  <c r="N162" i="2"/>
  <c r="Y20" i="2"/>
  <c r="P156" i="2"/>
  <c r="O161" i="2"/>
  <c r="O152" i="2"/>
  <c r="J100" i="2"/>
  <c r="O20" i="2"/>
  <c r="J156" i="2"/>
  <c r="J20" i="2"/>
  <c r="T20" i="2"/>
  <c r="X161" i="2"/>
  <c r="G52" i="2"/>
  <c r="S99" i="2"/>
  <c r="S161" i="2"/>
  <c r="P86" i="2"/>
  <c r="P99" i="2"/>
  <c r="N86" i="2"/>
  <c r="S20" i="2"/>
  <c r="S101" i="2"/>
  <c r="P20" i="2"/>
  <c r="N52" i="2"/>
  <c r="O101" i="2"/>
  <c r="S162" i="2"/>
  <c r="Y161" i="2"/>
  <c r="P101" i="2"/>
  <c r="T99" i="2"/>
  <c r="Y99" i="2"/>
  <c r="Y156" i="2"/>
  <c r="K100" i="2"/>
  <c r="N20" i="2"/>
  <c r="X20" i="2"/>
  <c r="G20" i="2"/>
  <c r="Q156" i="2"/>
  <c r="Y101" i="2"/>
  <c r="Y100" i="2"/>
  <c r="Q100" i="2"/>
  <c r="O162" i="2"/>
  <c r="T101" i="2"/>
  <c r="K99" i="2"/>
  <c r="T161" i="2"/>
  <c r="K161" i="2"/>
  <c r="N100" i="2"/>
  <c r="T86" i="2"/>
  <c r="X99" i="2"/>
  <c r="X152" i="2"/>
  <c r="X52" i="2"/>
  <c r="G156" i="2"/>
  <c r="O100" i="2"/>
  <c r="G161" i="2"/>
  <c r="K162" i="2"/>
  <c r="K20" i="2"/>
  <c r="G99" i="2"/>
  <c r="G101" i="2"/>
  <c r="K96" i="2"/>
  <c r="X139" i="2"/>
  <c r="P18" i="2"/>
  <c r="X48" i="2"/>
  <c r="K28" i="2"/>
  <c r="J139" i="2"/>
  <c r="S82" i="2"/>
  <c r="K59" i="2"/>
  <c r="X28" i="2"/>
  <c r="K139" i="2"/>
  <c r="P48" i="2"/>
  <c r="T96" i="2"/>
  <c r="N96" i="2"/>
  <c r="S18" i="2"/>
  <c r="G29" i="2"/>
  <c r="S29" i="2"/>
  <c r="P95" i="2"/>
  <c r="G96" i="2"/>
  <c r="J82" i="2"/>
  <c r="J96" i="2"/>
  <c r="J48" i="2"/>
  <c r="Q29" i="2"/>
  <c r="P139" i="2"/>
  <c r="N28" i="2"/>
  <c r="T28" i="2"/>
  <c r="X95" i="2"/>
  <c r="X18" i="2"/>
  <c r="O43" i="2"/>
  <c r="S43" i="2"/>
  <c r="X82" i="2"/>
  <c r="N18" i="2"/>
  <c r="N48" i="2"/>
  <c r="J43" i="2"/>
  <c r="G28" i="2"/>
  <c r="T29" i="2"/>
  <c r="X43" i="2"/>
  <c r="Y43" i="2"/>
  <c r="T82" i="2"/>
  <c r="Y82" i="2"/>
  <c r="G95" i="2"/>
  <c r="G59" i="2"/>
  <c r="J29" i="2"/>
  <c r="S96" i="2"/>
  <c r="P29" i="2"/>
  <c r="G18" i="2"/>
  <c r="Y28" i="2"/>
  <c r="T95" i="2"/>
  <c r="T48" i="2"/>
  <c r="K43" i="2"/>
  <c r="O59" i="2"/>
  <c r="J28" i="2"/>
  <c r="T18" i="2"/>
  <c r="J59" i="2"/>
  <c r="O96" i="2"/>
  <c r="O139" i="2"/>
  <c r="S139" i="2"/>
  <c r="P82" i="2"/>
  <c r="Y59" i="2"/>
  <c r="J18" i="2"/>
  <c r="G48" i="2"/>
  <c r="G139" i="2"/>
  <c r="P43" i="2"/>
  <c r="Q82" i="2"/>
  <c r="S59" i="2"/>
  <c r="O82" i="2"/>
  <c r="P59" i="2"/>
  <c r="Y18" i="2"/>
  <c r="P28" i="2"/>
  <c r="G82" i="2"/>
  <c r="Y95" i="2"/>
  <c r="G43" i="2"/>
  <c r="K18" i="2"/>
  <c r="K48" i="2"/>
  <c r="Q59" i="2"/>
  <c r="S28" i="2"/>
  <c r="J95" i="2"/>
  <c r="S95" i="2"/>
  <c r="Q139" i="2"/>
  <c r="T139" i="2"/>
  <c r="Q18" i="2"/>
  <c r="N43" i="2"/>
  <c r="Q95" i="2"/>
  <c r="Y96" i="2"/>
  <c r="O29" i="2"/>
  <c r="N59" i="2"/>
  <c r="T43" i="2"/>
  <c r="O95" i="2"/>
  <c r="N139" i="2"/>
  <c r="K29" i="2"/>
  <c r="Q28" i="2"/>
  <c r="O48" i="2"/>
  <c r="K95" i="2"/>
  <c r="T59" i="2"/>
  <c r="Y29" i="2"/>
  <c r="Q96" i="2"/>
  <c r="S48" i="2"/>
  <c r="X29" i="2"/>
  <c r="Y48" i="2"/>
  <c r="P96" i="2"/>
  <c r="X59" i="2"/>
  <c r="N82" i="2"/>
  <c r="O18" i="2"/>
  <c r="X96" i="2"/>
  <c r="N29" i="2"/>
  <c r="Q43" i="2"/>
  <c r="O28" i="2"/>
  <c r="Y139" i="2"/>
  <c r="N95" i="2"/>
  <c r="K82" i="2"/>
  <c r="Q48" i="2"/>
  <c r="P67" i="2"/>
  <c r="G23" i="2"/>
  <c r="Y35" i="2"/>
  <c r="T67" i="2"/>
  <c r="Q147" i="2"/>
  <c r="O90" i="2"/>
  <c r="X32" i="2"/>
  <c r="J35" i="2"/>
  <c r="Q23" i="2"/>
  <c r="K35" i="2"/>
  <c r="J147" i="2"/>
  <c r="Q32" i="2"/>
  <c r="S32" i="2"/>
  <c r="Y67" i="2"/>
  <c r="Y17" i="2"/>
  <c r="N32" i="2"/>
  <c r="S67" i="2"/>
  <c r="G147" i="2"/>
  <c r="O147" i="2"/>
  <c r="X66" i="2"/>
  <c r="J76" i="2"/>
  <c r="O17" i="2"/>
  <c r="S35" i="2"/>
  <c r="K76" i="2"/>
  <c r="X90" i="2"/>
  <c r="Q35" i="2"/>
  <c r="G149" i="2"/>
  <c r="P90" i="2"/>
  <c r="Y32" i="2"/>
  <c r="K66" i="2"/>
  <c r="Y147" i="2"/>
  <c r="N76" i="2"/>
  <c r="J149" i="2"/>
  <c r="P66" i="2"/>
  <c r="X23" i="2"/>
  <c r="Y66" i="2"/>
  <c r="N90" i="2"/>
  <c r="T35" i="2"/>
  <c r="S76" i="2"/>
  <c r="T90" i="2"/>
  <c r="X76" i="2"/>
  <c r="J17" i="2"/>
  <c r="P35" i="2"/>
  <c r="O32" i="2"/>
  <c r="X149" i="2"/>
  <c r="N149" i="2"/>
  <c r="S17" i="2"/>
  <c r="K67" i="2"/>
  <c r="P76" i="2"/>
  <c r="X67" i="2"/>
  <c r="J32" i="2"/>
  <c r="K17" i="2"/>
  <c r="X17" i="2"/>
  <c r="N35" i="2"/>
  <c r="Q149" i="2"/>
  <c r="Q67" i="2"/>
  <c r="G76" i="2"/>
  <c r="Q90" i="2"/>
  <c r="O66" i="2"/>
  <c r="O35" i="2"/>
  <c r="K90" i="2"/>
  <c r="J66" i="2"/>
  <c r="O76" i="2"/>
  <c r="P17" i="2"/>
  <c r="G35" i="2"/>
  <c r="G66" i="2"/>
  <c r="T66" i="2"/>
  <c r="T76" i="2"/>
  <c r="Y76" i="2"/>
  <c r="G17" i="2"/>
  <c r="K32" i="2"/>
  <c r="N67" i="2"/>
  <c r="N23" i="2"/>
  <c r="Y149" i="2"/>
  <c r="K23" i="2"/>
  <c r="S147" i="2"/>
  <c r="O23" i="2"/>
  <c r="N66" i="2"/>
  <c r="O149" i="2"/>
  <c r="J67" i="2"/>
  <c r="X147" i="2"/>
  <c r="P23" i="2"/>
  <c r="P149" i="2"/>
  <c r="T147" i="2"/>
  <c r="G67" i="2"/>
  <c r="S90" i="2"/>
  <c r="T17" i="2"/>
  <c r="Q66" i="2"/>
  <c r="T32" i="2"/>
  <c r="J90" i="2"/>
  <c r="K149" i="2"/>
  <c r="Y90" i="2"/>
  <c r="S23" i="2"/>
  <c r="S149" i="2"/>
  <c r="G90" i="2"/>
  <c r="T23" i="2"/>
  <c r="Q76" i="2"/>
  <c r="P147" i="2"/>
  <c r="J23" i="2"/>
  <c r="Q17" i="2"/>
  <c r="O67" i="2"/>
  <c r="G32" i="2"/>
  <c r="Y23" i="2"/>
  <c r="N17" i="2"/>
  <c r="X35" i="2"/>
  <c r="N147" i="2"/>
  <c r="P32" i="2"/>
  <c r="T149" i="2"/>
  <c r="S66" i="2"/>
  <c r="K147" i="2"/>
  <c r="Y69" i="2"/>
  <c r="J155" i="2"/>
  <c r="N155" i="2"/>
  <c r="T153" i="2"/>
  <c r="N97" i="2"/>
  <c r="S94" i="2"/>
  <c r="G109" i="2"/>
  <c r="X98" i="2"/>
  <c r="K98" i="2"/>
  <c r="Y118" i="2"/>
  <c r="O97" i="2"/>
  <c r="X94" i="2"/>
  <c r="Q94" i="2"/>
  <c r="Q153" i="2"/>
  <c r="T69" i="2"/>
  <c r="O98" i="2"/>
  <c r="Y141" i="2"/>
  <c r="G118" i="2"/>
  <c r="Y155" i="2"/>
  <c r="J97" i="2"/>
  <c r="O69" i="2"/>
  <c r="P153" i="2"/>
  <c r="K69" i="2"/>
  <c r="N94" i="2"/>
  <c r="X5" i="2"/>
  <c r="J94" i="2"/>
  <c r="S155" i="2"/>
  <c r="Y109" i="2"/>
  <c r="P155" i="2"/>
  <c r="Y94" i="2"/>
  <c r="K155" i="2"/>
  <c r="X109" i="2"/>
  <c r="T94" i="2"/>
  <c r="T141" i="2"/>
  <c r="T118" i="2"/>
  <c r="X141" i="2"/>
  <c r="J109" i="2"/>
  <c r="S118" i="2"/>
  <c r="P69" i="2"/>
  <c r="N98" i="2"/>
  <c r="X69" i="2"/>
  <c r="S69" i="2"/>
  <c r="O118" i="2"/>
  <c r="J5" i="2"/>
  <c r="G97" i="2"/>
  <c r="K141" i="2"/>
  <c r="T155" i="2"/>
  <c r="P98" i="2"/>
  <c r="J69" i="2"/>
  <c r="J153" i="2"/>
  <c r="P97" i="2"/>
  <c r="K153" i="2"/>
  <c r="T5" i="2"/>
  <c r="N118" i="2"/>
  <c r="S109" i="2"/>
  <c r="Y153" i="2"/>
  <c r="P118" i="2"/>
  <c r="J141" i="2"/>
  <c r="Q155" i="2"/>
  <c r="N153" i="2"/>
  <c r="N5" i="2"/>
  <c r="K94" i="2"/>
  <c r="J98" i="2"/>
  <c r="X155" i="2"/>
  <c r="G69" i="2"/>
  <c r="P141" i="2"/>
  <c r="O5" i="2"/>
  <c r="Q109" i="2"/>
  <c r="T98" i="2"/>
  <c r="O94" i="2"/>
  <c r="T109" i="2"/>
  <c r="Q5" i="2"/>
  <c r="G94" i="2"/>
  <c r="G98" i="2"/>
  <c r="K97" i="2"/>
  <c r="S5" i="2"/>
  <c r="P109" i="2"/>
  <c r="O141" i="2"/>
  <c r="P5" i="2"/>
  <c r="N69" i="2"/>
  <c r="K118" i="2"/>
  <c r="K109" i="2"/>
  <c r="G153" i="2"/>
  <c r="O153" i="2"/>
  <c r="Q98" i="2"/>
  <c r="Q118" i="2"/>
  <c r="Y97" i="2"/>
  <c r="Q97" i="2"/>
  <c r="Y5" i="2"/>
  <c r="N141" i="2"/>
  <c r="S97" i="2"/>
  <c r="O155" i="2"/>
  <c r="Q141" i="2"/>
  <c r="X118" i="2"/>
  <c r="S141" i="2"/>
  <c r="N109" i="2"/>
  <c r="S98" i="2"/>
  <c r="S153" i="2"/>
  <c r="X97" i="2"/>
  <c r="P94" i="2"/>
  <c r="G155" i="2"/>
  <c r="O109" i="2"/>
  <c r="Y98" i="2"/>
  <c r="Q69" i="2"/>
  <c r="K5" i="2"/>
  <c r="T97" i="2"/>
  <c r="X153" i="2"/>
  <c r="J118" i="2"/>
  <c r="G5" i="2"/>
  <c r="G141" i="2"/>
  <c r="K89" i="2"/>
  <c r="P47" i="2"/>
  <c r="Q30" i="2"/>
  <c r="N119" i="2"/>
  <c r="O136" i="2"/>
  <c r="P83" i="2"/>
  <c r="N16" i="2"/>
  <c r="K16" i="2"/>
  <c r="P132" i="2"/>
  <c r="O137" i="2"/>
  <c r="S119" i="2"/>
  <c r="J119" i="2"/>
  <c r="X30" i="2"/>
  <c r="J47" i="2"/>
  <c r="T47" i="2"/>
  <c r="Y83" i="2"/>
  <c r="O47" i="2"/>
  <c r="Q47" i="2"/>
  <c r="G85" i="2"/>
  <c r="O89" i="2"/>
  <c r="K30" i="2"/>
  <c r="N132" i="2"/>
  <c r="Q137" i="2"/>
  <c r="N136" i="2"/>
  <c r="T30" i="2"/>
  <c r="T85" i="2"/>
  <c r="X47" i="2"/>
  <c r="Q16" i="2"/>
  <c r="T136" i="2"/>
  <c r="Q85" i="2"/>
  <c r="X137" i="2"/>
  <c r="T89" i="2"/>
  <c r="J16" i="2"/>
  <c r="S30" i="2"/>
  <c r="Q89" i="2"/>
  <c r="J83" i="2"/>
  <c r="X16" i="2"/>
  <c r="S83" i="2"/>
  <c r="J136" i="2"/>
  <c r="K132" i="2"/>
  <c r="P16" i="2"/>
  <c r="Y30" i="2"/>
  <c r="Y132" i="2"/>
  <c r="N85" i="2"/>
  <c r="Y89" i="2"/>
  <c r="X85" i="2"/>
  <c r="S47" i="2"/>
  <c r="K47" i="2"/>
  <c r="J89" i="2"/>
  <c r="K119" i="2"/>
  <c r="O119" i="2"/>
  <c r="G119" i="2"/>
  <c r="S132" i="2"/>
  <c r="G137" i="2"/>
  <c r="P30" i="2"/>
  <c r="T119" i="2"/>
  <c r="X136" i="2"/>
  <c r="X89" i="2"/>
  <c r="Q136" i="2"/>
  <c r="N137" i="2"/>
  <c r="G16" i="2"/>
  <c r="Y119" i="2"/>
  <c r="Y16" i="2"/>
  <c r="S137" i="2"/>
  <c r="P137" i="2"/>
  <c r="Q132" i="2"/>
  <c r="G83" i="2"/>
  <c r="N83" i="2"/>
  <c r="G47" i="2"/>
  <c r="P136" i="2"/>
  <c r="K137" i="2"/>
  <c r="J137" i="2"/>
  <c r="S85" i="2"/>
  <c r="S16" i="2"/>
  <c r="O30" i="2"/>
  <c r="Y136" i="2"/>
  <c r="T16" i="2"/>
  <c r="X119" i="2"/>
  <c r="P85" i="2"/>
  <c r="O85" i="2"/>
  <c r="P89" i="2"/>
  <c r="Q119" i="2"/>
  <c r="O83" i="2"/>
  <c r="G136" i="2"/>
  <c r="X83" i="2"/>
  <c r="N30" i="2"/>
  <c r="S136" i="2"/>
  <c r="G132" i="2"/>
  <c r="Y85" i="2"/>
  <c r="J132" i="2"/>
  <c r="O132" i="2"/>
  <c r="Q83" i="2"/>
  <c r="Y137" i="2"/>
  <c r="K85" i="2"/>
  <c r="G89" i="2"/>
  <c r="T132" i="2"/>
  <c r="J30" i="2"/>
  <c r="N89" i="2"/>
  <c r="K83" i="2"/>
  <c r="N47" i="2"/>
  <c r="G30" i="2"/>
  <c r="X132" i="2"/>
  <c r="K136" i="2"/>
  <c r="T83" i="2"/>
  <c r="T137" i="2"/>
  <c r="S89" i="2"/>
  <c r="J85" i="2"/>
  <c r="Y47" i="2"/>
  <c r="P119" i="2"/>
  <c r="O16" i="2"/>
  <c r="K36" i="2"/>
  <c r="J50" i="2"/>
  <c r="N14" i="2"/>
  <c r="K7" i="2"/>
  <c r="X14" i="2"/>
  <c r="N50" i="2"/>
  <c r="K33" i="2"/>
  <c r="Y41" i="2"/>
  <c r="K163" i="2"/>
  <c r="J74" i="2"/>
  <c r="N33" i="2"/>
  <c r="G50" i="2"/>
  <c r="G7" i="2"/>
  <c r="K41" i="2"/>
  <c r="T50" i="2"/>
  <c r="O57" i="2"/>
  <c r="Q74" i="2"/>
  <c r="K74" i="2"/>
  <c r="G33" i="2"/>
  <c r="O41" i="2"/>
  <c r="G57" i="2"/>
  <c r="G36" i="2"/>
  <c r="G14" i="2"/>
  <c r="N74" i="2"/>
  <c r="N36" i="2"/>
  <c r="X33" i="2"/>
  <c r="J41" i="2"/>
  <c r="X57" i="2"/>
  <c r="Q154" i="2"/>
  <c r="O50" i="2"/>
  <c r="P74" i="2"/>
  <c r="G163" i="2"/>
  <c r="X36" i="2"/>
  <c r="Y7" i="2"/>
  <c r="Q36" i="2"/>
  <c r="Q41" i="2"/>
  <c r="P50" i="2"/>
  <c r="N163" i="2"/>
  <c r="Q7" i="2"/>
  <c r="G74" i="2"/>
  <c r="T7" i="2"/>
  <c r="O7" i="2"/>
  <c r="Q57" i="2"/>
  <c r="S7" i="2"/>
  <c r="X50" i="2"/>
  <c r="P36" i="2"/>
  <c r="Q50" i="2"/>
  <c r="T154" i="2"/>
  <c r="O154" i="2"/>
  <c r="P41" i="2"/>
  <c r="J154" i="2"/>
  <c r="K14" i="2"/>
  <c r="S74" i="2"/>
  <c r="K154" i="2"/>
  <c r="P163" i="2"/>
  <c r="Y154" i="2"/>
  <c r="X41" i="2"/>
  <c r="Y14" i="2"/>
  <c r="J14" i="2"/>
  <c r="J7" i="2"/>
  <c r="O14" i="2"/>
  <c r="T74" i="2"/>
  <c r="N7" i="2"/>
  <c r="Y163" i="2"/>
  <c r="Y50" i="2"/>
  <c r="Q14" i="2"/>
  <c r="J57" i="2"/>
  <c r="N41" i="2"/>
  <c r="S33" i="2"/>
  <c r="O36" i="2"/>
  <c r="G154" i="2"/>
  <c r="X7" i="2"/>
  <c r="J33" i="2"/>
  <c r="S154" i="2"/>
  <c r="J163" i="2"/>
  <c r="K57" i="2"/>
  <c r="T33" i="2"/>
  <c r="T14" i="2"/>
  <c r="T36" i="2"/>
  <c r="X163" i="2"/>
  <c r="Q33" i="2"/>
  <c r="Q163" i="2"/>
  <c r="P154" i="2"/>
  <c r="Y36" i="2"/>
  <c r="P14" i="2"/>
  <c r="J36" i="2"/>
  <c r="O163" i="2"/>
  <c r="Y57" i="2"/>
  <c r="Y33" i="2"/>
  <c r="N154" i="2"/>
  <c r="T41" i="2"/>
  <c r="P33" i="2"/>
  <c r="O74" i="2"/>
  <c r="K50" i="2"/>
  <c r="P57" i="2"/>
  <c r="T57" i="2"/>
  <c r="S41" i="2"/>
  <c r="S163" i="2"/>
  <c r="S57" i="2"/>
  <c r="X74" i="2"/>
  <c r="S14" i="2"/>
  <c r="O33" i="2"/>
  <c r="S36" i="2"/>
  <c r="S50" i="2"/>
  <c r="G41" i="2"/>
  <c r="Y74" i="2"/>
  <c r="T163" i="2"/>
  <c r="X154" i="2"/>
  <c r="P7" i="2"/>
  <c r="N57" i="2"/>
  <c r="J122" i="2"/>
  <c r="G49" i="2"/>
  <c r="S49" i="2"/>
  <c r="O72" i="2"/>
  <c r="J72" i="2"/>
  <c r="Q122" i="2"/>
  <c r="T143" i="2"/>
  <c r="T49" i="2"/>
  <c r="S72" i="2"/>
  <c r="G40" i="2"/>
  <c r="N108" i="2"/>
  <c r="K10" i="2"/>
  <c r="O10" i="2"/>
  <c r="G72" i="2"/>
  <c r="Y10" i="2"/>
  <c r="G10" i="2"/>
  <c r="Q140" i="2"/>
  <c r="P10" i="2"/>
  <c r="Y72" i="2"/>
  <c r="O108" i="2"/>
  <c r="K92" i="2"/>
  <c r="J40" i="2"/>
  <c r="N122" i="2"/>
  <c r="X92" i="2"/>
  <c r="Y143" i="2"/>
  <c r="P140" i="2"/>
  <c r="Q108" i="2"/>
  <c r="T92" i="2"/>
  <c r="O92" i="2"/>
  <c r="S92" i="2"/>
  <c r="T10" i="2"/>
  <c r="Q143" i="2"/>
  <c r="K60" i="2"/>
  <c r="J108" i="2"/>
  <c r="P122" i="2"/>
  <c r="J92" i="2"/>
  <c r="X140" i="2"/>
  <c r="S140" i="2"/>
  <c r="T72" i="2"/>
  <c r="N143" i="2"/>
  <c r="G122" i="2"/>
  <c r="O143" i="2"/>
  <c r="X108" i="2"/>
  <c r="X143" i="2"/>
  <c r="Y108" i="2"/>
  <c r="Y140" i="2"/>
  <c r="P143" i="2"/>
  <c r="T140" i="2"/>
  <c r="N49" i="2"/>
  <c r="G108" i="2"/>
  <c r="Y40" i="2"/>
  <c r="O40" i="2"/>
  <c r="Y92" i="2"/>
  <c r="P60" i="2"/>
  <c r="P108" i="2"/>
  <c r="Y60" i="2"/>
  <c r="P40" i="2"/>
  <c r="X49" i="2"/>
  <c r="K108" i="2"/>
  <c r="O140" i="2"/>
  <c r="Q72" i="2"/>
  <c r="Q10" i="2"/>
  <c r="Q49" i="2"/>
  <c r="G60" i="2"/>
  <c r="S108" i="2"/>
  <c r="Q92" i="2"/>
  <c r="K72" i="2"/>
  <c r="Q60" i="2"/>
  <c r="X72" i="2"/>
  <c r="G92" i="2"/>
  <c r="S60" i="2"/>
  <c r="O122" i="2"/>
  <c r="Y122" i="2"/>
  <c r="K143" i="2"/>
  <c r="J140" i="2"/>
  <c r="Q40" i="2"/>
  <c r="P92" i="2"/>
  <c r="X60" i="2"/>
  <c r="S10" i="2"/>
  <c r="K140" i="2"/>
  <c r="T60" i="2"/>
  <c r="J60" i="2"/>
  <c r="O49" i="2"/>
  <c r="T40" i="2"/>
  <c r="S143" i="2"/>
  <c r="X10" i="2"/>
  <c r="P49" i="2"/>
  <c r="P72" i="2"/>
  <c r="J49" i="2"/>
  <c r="S122" i="2"/>
  <c r="N60" i="2"/>
  <c r="X122" i="2"/>
  <c r="K122" i="2"/>
  <c r="X40" i="2"/>
  <c r="K49" i="2"/>
  <c r="N40" i="2"/>
  <c r="N140" i="2"/>
  <c r="S40" i="2"/>
  <c r="N10" i="2"/>
  <c r="G143" i="2"/>
  <c r="J143" i="2"/>
  <c r="J10" i="2"/>
  <c r="G140" i="2"/>
  <c r="Y49" i="2"/>
  <c r="T108" i="2"/>
  <c r="O60" i="2"/>
  <c r="T122" i="2"/>
  <c r="K40" i="2"/>
  <c r="N92" i="2"/>
  <c r="N72" i="2"/>
  <c r="T142" i="2"/>
  <c r="O51" i="2"/>
  <c r="X51" i="2"/>
  <c r="Y134" i="2"/>
  <c r="Y46" i="2"/>
  <c r="Q134" i="2"/>
  <c r="X64" i="2"/>
  <c r="Y126" i="2"/>
  <c r="K46" i="2"/>
  <c r="O131" i="2"/>
  <c r="P134" i="2"/>
  <c r="S51" i="2"/>
  <c r="K117" i="2"/>
  <c r="N64" i="2"/>
  <c r="X55" i="2"/>
  <c r="P117" i="2"/>
  <c r="N51" i="2"/>
  <c r="J51" i="2"/>
  <c r="X126" i="2"/>
  <c r="K51" i="2"/>
  <c r="O2" i="2"/>
  <c r="P142" i="2"/>
  <c r="G134" i="2"/>
  <c r="J134" i="2"/>
  <c r="P64" i="2"/>
  <c r="G2" i="2"/>
  <c r="N126" i="2"/>
  <c r="T126" i="2"/>
  <c r="T55" i="2"/>
  <c r="N55" i="2"/>
  <c r="O64" i="2"/>
  <c r="S142" i="2"/>
  <c r="P126" i="2"/>
  <c r="T51" i="2"/>
  <c r="G46" i="2"/>
  <c r="O46" i="2"/>
  <c r="S126" i="2"/>
  <c r="X117" i="2"/>
  <c r="J55" i="2"/>
  <c r="J142" i="2"/>
  <c r="O117" i="2"/>
  <c r="P131" i="2"/>
  <c r="N2" i="2"/>
  <c r="Y51" i="2"/>
  <c r="S2" i="2"/>
  <c r="T2" i="2"/>
  <c r="Q131" i="2"/>
  <c r="P2" i="2"/>
  <c r="J2" i="2"/>
  <c r="G51" i="2"/>
  <c r="X134" i="2"/>
  <c r="T117" i="2"/>
  <c r="Q2" i="2"/>
  <c r="K55" i="2"/>
  <c r="G142" i="2"/>
  <c r="G55" i="2"/>
  <c r="K142" i="2"/>
  <c r="Q46" i="2"/>
  <c r="J117" i="2"/>
  <c r="P55" i="2"/>
  <c r="Q142" i="2"/>
  <c r="N46" i="2"/>
  <c r="G64" i="2"/>
  <c r="N134" i="2"/>
  <c r="N117" i="2"/>
  <c r="S117" i="2"/>
  <c r="N131" i="2"/>
  <c r="G131" i="2"/>
  <c r="J126" i="2"/>
  <c r="T134" i="2"/>
  <c r="O55" i="2"/>
  <c r="Y2" i="2"/>
  <c r="O142" i="2"/>
  <c r="K64" i="2"/>
  <c r="G117" i="2"/>
  <c r="X46" i="2"/>
  <c r="X131" i="2"/>
  <c r="P46" i="2"/>
  <c r="J46" i="2"/>
  <c r="K126" i="2"/>
  <c r="Q55" i="2"/>
  <c r="K134" i="2"/>
  <c r="Q64" i="2"/>
  <c r="J131" i="2"/>
  <c r="G126" i="2"/>
  <c r="Q117" i="2"/>
  <c r="X2" i="2"/>
  <c r="Y64" i="2"/>
  <c r="X142" i="2"/>
  <c r="J64" i="2"/>
  <c r="S134" i="2"/>
  <c r="Y131" i="2"/>
  <c r="S46" i="2"/>
  <c r="S55" i="2"/>
  <c r="O126" i="2"/>
  <c r="S64" i="2"/>
  <c r="Y142" i="2"/>
  <c r="Q51" i="2"/>
  <c r="T131" i="2"/>
  <c r="S131" i="2"/>
  <c r="K131" i="2"/>
  <c r="Y117" i="2"/>
  <c r="T46" i="2"/>
  <c r="N142" i="2"/>
  <c r="P51" i="2"/>
  <c r="T64" i="2"/>
  <c r="O134" i="2"/>
  <c r="Y55" i="2"/>
  <c r="K2" i="2"/>
  <c r="Q126" i="2"/>
  <c r="J39" i="2"/>
  <c r="Y78" i="2"/>
  <c r="S61" i="2"/>
  <c r="N112" i="2"/>
  <c r="S151" i="2"/>
  <c r="S39" i="2"/>
  <c r="P39" i="2"/>
  <c r="J78" i="2"/>
  <c r="X87" i="2"/>
  <c r="S68" i="2"/>
  <c r="J112" i="2"/>
  <c r="K87" i="2"/>
  <c r="S160" i="2"/>
  <c r="O112" i="2"/>
  <c r="K78" i="2"/>
  <c r="O68" i="2"/>
  <c r="N68" i="2"/>
  <c r="G78" i="2"/>
  <c r="Y112" i="2"/>
  <c r="G151" i="2"/>
  <c r="T39" i="2"/>
  <c r="O87" i="2"/>
  <c r="K112" i="2"/>
  <c r="Q39" i="2"/>
  <c r="J61" i="2"/>
  <c r="Q31" i="2"/>
  <c r="P8" i="2"/>
  <c r="K68" i="2"/>
  <c r="Q87" i="2"/>
  <c r="P78" i="2"/>
  <c r="Y31" i="2"/>
  <c r="G8" i="2"/>
  <c r="T160" i="2"/>
  <c r="O61" i="2"/>
  <c r="J8" i="2"/>
  <c r="P151" i="2"/>
  <c r="K151" i="2"/>
  <c r="K160" i="2"/>
  <c r="G112" i="2"/>
  <c r="J31" i="2"/>
  <c r="J68" i="2"/>
  <c r="T78" i="2"/>
  <c r="X31" i="2"/>
  <c r="Q78" i="2"/>
  <c r="N160" i="2"/>
  <c r="N8" i="2"/>
  <c r="O8" i="2"/>
  <c r="K39" i="2"/>
  <c r="X8" i="2"/>
  <c r="Q151" i="2"/>
  <c r="T8" i="2"/>
  <c r="X112" i="2"/>
  <c r="S112" i="2"/>
  <c r="T31" i="2"/>
  <c r="X61" i="2"/>
  <c r="P61" i="2"/>
  <c r="Q112" i="2"/>
  <c r="N87" i="2"/>
  <c r="Y160" i="2"/>
  <c r="J151" i="2"/>
  <c r="G31" i="2"/>
  <c r="Q61" i="2"/>
  <c r="K61" i="2"/>
  <c r="O151" i="2"/>
  <c r="K31" i="2"/>
  <c r="T151" i="2"/>
  <c r="P87" i="2"/>
  <c r="G39" i="2"/>
  <c r="T87" i="2"/>
  <c r="X68" i="2"/>
  <c r="X151" i="2"/>
  <c r="Y87" i="2"/>
  <c r="N61" i="2"/>
  <c r="T68" i="2"/>
  <c r="N31" i="2"/>
  <c r="S87" i="2"/>
  <c r="Q160" i="2"/>
  <c r="J87" i="2"/>
  <c r="P160" i="2"/>
  <c r="P31" i="2"/>
  <c r="N78" i="2"/>
  <c r="X160" i="2"/>
  <c r="Q68" i="2"/>
  <c r="O160" i="2"/>
  <c r="X39" i="2"/>
  <c r="Y39" i="2"/>
  <c r="O31" i="2"/>
  <c r="S8" i="2"/>
  <c r="K8" i="2"/>
  <c r="O78" i="2"/>
  <c r="Y8" i="2"/>
  <c r="O39" i="2"/>
  <c r="Y68" i="2"/>
  <c r="J160" i="2"/>
  <c r="G61" i="2"/>
  <c r="S78" i="2"/>
  <c r="G68" i="2"/>
  <c r="Y61" i="2"/>
  <c r="Y151" i="2"/>
  <c r="N151" i="2"/>
  <c r="T61" i="2"/>
  <c r="X78" i="2"/>
  <c r="N39" i="2"/>
  <c r="Q8" i="2"/>
  <c r="G87" i="2"/>
  <c r="S31" i="2"/>
  <c r="T112" i="2"/>
  <c r="P112" i="2"/>
  <c r="G160" i="2"/>
  <c r="P68" i="2"/>
  <c r="T114" i="2"/>
  <c r="S71" i="2"/>
  <c r="Q150" i="2"/>
  <c r="S114" i="2"/>
  <c r="J121" i="2"/>
  <c r="J13" i="2"/>
  <c r="T37" i="2"/>
  <c r="Y116" i="2"/>
  <c r="O116" i="2"/>
  <c r="Q37" i="2"/>
  <c r="K13" i="2"/>
  <c r="G121" i="2"/>
  <c r="O37" i="2"/>
  <c r="T106" i="2"/>
  <c r="G37" i="2"/>
  <c r="G71" i="2"/>
  <c r="X79" i="2"/>
  <c r="J114" i="2"/>
  <c r="Y71" i="2"/>
  <c r="N116" i="2"/>
  <c r="K79" i="2"/>
  <c r="P79" i="2"/>
  <c r="T150" i="2"/>
  <c r="N121" i="2"/>
  <c r="O121" i="2"/>
  <c r="S13" i="2"/>
  <c r="G106" i="2"/>
  <c r="G114" i="2"/>
  <c r="P37" i="2"/>
  <c r="S79" i="2"/>
  <c r="S116" i="2"/>
  <c r="S121" i="2"/>
  <c r="T13" i="2"/>
  <c r="N111" i="2"/>
  <c r="K71" i="2"/>
  <c r="X121" i="2"/>
  <c r="S106" i="2"/>
  <c r="Q106" i="2"/>
  <c r="G150" i="2"/>
  <c r="J116" i="2"/>
  <c r="N79" i="2"/>
  <c r="X106" i="2"/>
  <c r="N37" i="2"/>
  <c r="N106" i="2"/>
  <c r="O79" i="2"/>
  <c r="J150" i="2"/>
  <c r="K111" i="2"/>
  <c r="J111" i="2"/>
  <c r="X111" i="2"/>
  <c r="N13" i="2"/>
  <c r="O150" i="2"/>
  <c r="K37" i="2"/>
  <c r="P71" i="2"/>
  <c r="P116" i="2"/>
  <c r="O106" i="2"/>
  <c r="Y13" i="2"/>
  <c r="Y37" i="2"/>
  <c r="N150" i="2"/>
  <c r="K150" i="2"/>
  <c r="S111" i="2"/>
  <c r="T71" i="2"/>
  <c r="Y79" i="2"/>
  <c r="S37" i="2"/>
  <c r="G79" i="2"/>
  <c r="K116" i="2"/>
  <c r="G13" i="2"/>
  <c r="Y114" i="2"/>
  <c r="X114" i="2"/>
  <c r="Y111" i="2"/>
  <c r="P150" i="2"/>
  <c r="J71" i="2"/>
  <c r="T121" i="2"/>
  <c r="P111" i="2"/>
  <c r="O13" i="2"/>
  <c r="Q71" i="2"/>
  <c r="Y150" i="2"/>
  <c r="X116" i="2"/>
  <c r="X71" i="2"/>
  <c r="N114" i="2"/>
  <c r="O111" i="2"/>
  <c r="T116" i="2"/>
  <c r="Q116" i="2"/>
  <c r="T111" i="2"/>
  <c r="O114" i="2"/>
  <c r="X150" i="2"/>
  <c r="K121" i="2"/>
  <c r="P121" i="2"/>
  <c r="J37" i="2"/>
  <c r="J79" i="2"/>
  <c r="Q13" i="2"/>
  <c r="Y121" i="2"/>
  <c r="K106" i="2"/>
  <c r="Y106" i="2"/>
  <c r="Q114" i="2"/>
  <c r="N71" i="2"/>
  <c r="T79" i="2"/>
  <c r="X13" i="2"/>
  <c r="P106" i="2"/>
  <c r="K114" i="2"/>
  <c r="Q111" i="2"/>
  <c r="G111" i="2"/>
  <c r="S150" i="2"/>
  <c r="J106" i="2"/>
  <c r="O71" i="2"/>
  <c r="Q121" i="2"/>
  <c r="Q79" i="2"/>
  <c r="P114" i="2"/>
  <c r="X37" i="2"/>
  <c r="P13" i="2"/>
  <c r="G116" i="2"/>
  <c r="Y54" i="2"/>
  <c r="J58" i="2"/>
  <c r="T128" i="2"/>
  <c r="N128" i="2"/>
  <c r="K115" i="2"/>
  <c r="O45" i="2"/>
  <c r="G128" i="2"/>
  <c r="G12" i="2"/>
  <c r="S58" i="2"/>
  <c r="P115" i="2"/>
  <c r="P25" i="2"/>
  <c r="S12" i="2"/>
  <c r="J103" i="2"/>
  <c r="T135" i="2"/>
  <c r="P58" i="2"/>
  <c r="Q115" i="2"/>
  <c r="O91" i="2"/>
  <c r="Q128" i="2"/>
  <c r="Q103" i="2"/>
  <c r="X135" i="2"/>
  <c r="Q58" i="2"/>
  <c r="O25" i="2"/>
  <c r="T54" i="2"/>
  <c r="O12" i="2"/>
  <c r="T115" i="2"/>
  <c r="X58" i="2"/>
  <c r="P45" i="2"/>
  <c r="S115" i="2"/>
  <c r="G45" i="2"/>
  <c r="P91" i="2"/>
  <c r="O128" i="2"/>
  <c r="G135" i="2"/>
  <c r="Q135" i="2"/>
  <c r="O58" i="2"/>
  <c r="K91" i="2"/>
  <c r="P12" i="2"/>
  <c r="Q45" i="2"/>
  <c r="N91" i="2"/>
  <c r="J135" i="2"/>
  <c r="N58" i="2"/>
  <c r="Y12" i="2"/>
  <c r="N103" i="2"/>
  <c r="N54" i="2"/>
  <c r="K128" i="2"/>
  <c r="N25" i="2"/>
  <c r="P135" i="2"/>
  <c r="K25" i="2"/>
  <c r="K12" i="2"/>
  <c r="K103" i="2"/>
  <c r="Y128" i="2"/>
  <c r="O115" i="2"/>
  <c r="X128" i="2"/>
  <c r="T25" i="2"/>
  <c r="Q12" i="2"/>
  <c r="G91" i="2"/>
  <c r="S25" i="2"/>
  <c r="N135" i="2"/>
  <c r="T58" i="2"/>
  <c r="X103" i="2"/>
  <c r="J45" i="2"/>
  <c r="Q54" i="2"/>
  <c r="Y45" i="2"/>
  <c r="N12" i="2"/>
  <c r="T91" i="2"/>
  <c r="X12" i="2"/>
  <c r="K54" i="2"/>
  <c r="S45" i="2"/>
  <c r="G115" i="2"/>
  <c r="X25" i="2"/>
  <c r="Y115" i="2"/>
  <c r="S128" i="2"/>
  <c r="P54" i="2"/>
  <c r="X45" i="2"/>
  <c r="K58" i="2"/>
  <c r="O135" i="2"/>
  <c r="P128" i="2"/>
  <c r="K135" i="2"/>
  <c r="S54" i="2"/>
  <c r="X91" i="2"/>
  <c r="O103" i="2"/>
  <c r="Y25" i="2"/>
  <c r="Y91" i="2"/>
  <c r="Q91" i="2"/>
  <c r="O54" i="2"/>
  <c r="X54" i="2"/>
  <c r="S103" i="2"/>
  <c r="Y58" i="2"/>
  <c r="Y135" i="2"/>
  <c r="J91" i="2"/>
  <c r="X115" i="2"/>
  <c r="Q25" i="2"/>
  <c r="Y103" i="2"/>
  <c r="J54" i="2"/>
  <c r="J115" i="2"/>
  <c r="G25" i="2"/>
  <c r="K45" i="2"/>
  <c r="P103" i="2"/>
  <c r="T45" i="2"/>
  <c r="J12" i="2"/>
  <c r="N45" i="2"/>
  <c r="T103" i="2"/>
  <c r="J128" i="2"/>
  <c r="G54" i="2"/>
  <c r="G103" i="2"/>
  <c r="J25" i="2"/>
  <c r="S91" i="2"/>
  <c r="G58" i="2"/>
  <c r="T12" i="2"/>
  <c r="N115" i="2"/>
  <c r="S135" i="2"/>
  <c r="J125" i="2"/>
  <c r="T73" i="2"/>
  <c r="O75" i="2"/>
  <c r="P70" i="2"/>
  <c r="P129" i="2"/>
  <c r="N22" i="2"/>
  <c r="S22" i="2"/>
  <c r="Y21" i="2"/>
  <c r="G75" i="2"/>
  <c r="N4" i="2"/>
  <c r="T70" i="2"/>
  <c r="O125" i="2"/>
  <c r="X75" i="2"/>
  <c r="O73" i="2"/>
  <c r="J73" i="2"/>
  <c r="J22" i="2"/>
  <c r="K21" i="2"/>
  <c r="X22" i="2"/>
  <c r="P19" i="2"/>
  <c r="G22" i="2"/>
  <c r="Q75" i="2"/>
  <c r="G133" i="2"/>
  <c r="O133" i="2"/>
  <c r="K125" i="2"/>
  <c r="S75" i="2"/>
  <c r="S125" i="2"/>
  <c r="G4" i="2"/>
  <c r="G129" i="2"/>
  <c r="K133" i="2"/>
  <c r="X70" i="2"/>
  <c r="Y133" i="2"/>
  <c r="G21" i="2"/>
  <c r="X21" i="2"/>
  <c r="P133" i="2"/>
  <c r="J70" i="2"/>
  <c r="X133" i="2"/>
  <c r="Y129" i="2"/>
  <c r="N129" i="2"/>
  <c r="X4" i="2"/>
  <c r="S4" i="2"/>
  <c r="Y22" i="2"/>
  <c r="G125" i="2"/>
  <c r="N75" i="2"/>
  <c r="Y19" i="2"/>
  <c r="Q129" i="2"/>
  <c r="T22" i="2"/>
  <c r="K129" i="2"/>
  <c r="J19" i="2"/>
  <c r="Y75" i="2"/>
  <c r="S133" i="2"/>
  <c r="J4" i="2"/>
  <c r="T19" i="2"/>
  <c r="T125" i="2"/>
  <c r="K22" i="2"/>
  <c r="K70" i="2"/>
  <c r="N70" i="2"/>
  <c r="T75" i="2"/>
  <c r="T4" i="2"/>
  <c r="P75" i="2"/>
  <c r="S129" i="2"/>
  <c r="Y4" i="2"/>
  <c r="T21" i="2"/>
  <c r="Q70" i="2"/>
  <c r="X19" i="2"/>
  <c r="O19" i="2"/>
  <c r="Q73" i="2"/>
  <c r="K73" i="2"/>
  <c r="X73" i="2"/>
  <c r="Y73" i="2"/>
  <c r="O21" i="2"/>
  <c r="P22" i="2"/>
  <c r="S70" i="2"/>
  <c r="Q19" i="2"/>
  <c r="T133" i="2"/>
  <c r="Y125" i="2"/>
  <c r="K75" i="2"/>
  <c r="O4" i="2"/>
  <c r="P125" i="2"/>
  <c r="O70" i="2"/>
  <c r="P73" i="2"/>
  <c r="S19" i="2"/>
  <c r="Q21" i="2"/>
  <c r="S73" i="2"/>
  <c r="N133" i="2"/>
  <c r="X129" i="2"/>
  <c r="K19" i="2"/>
  <c r="K4" i="2"/>
  <c r="O22" i="2"/>
  <c r="J21" i="2"/>
  <c r="Q133" i="2"/>
  <c r="S21" i="2"/>
  <c r="N19" i="2"/>
  <c r="Q4" i="2"/>
  <c r="O129" i="2"/>
  <c r="J129" i="2"/>
  <c r="Q125" i="2"/>
  <c r="N21" i="2"/>
  <c r="X125" i="2"/>
  <c r="N73" i="2"/>
  <c r="Y70" i="2"/>
  <c r="G70" i="2"/>
  <c r="T129" i="2"/>
  <c r="J133" i="2"/>
  <c r="N125" i="2"/>
  <c r="J75" i="2"/>
  <c r="Q22" i="2"/>
  <c r="P21" i="2"/>
  <c r="P4" i="2"/>
  <c r="G19" i="2"/>
  <c r="G73" i="2"/>
  <c r="O113" i="2"/>
  <c r="G80" i="2"/>
  <c r="S80" i="2"/>
  <c r="Y146" i="2"/>
  <c r="Q104" i="2"/>
  <c r="T53" i="2"/>
  <c r="P104" i="2"/>
  <c r="S157" i="2"/>
  <c r="G42" i="2"/>
  <c r="K80" i="2"/>
  <c r="X104" i="2"/>
  <c r="X113" i="2"/>
  <c r="Q42" i="2"/>
  <c r="K9" i="2"/>
  <c r="K44" i="2"/>
  <c r="N157" i="2"/>
  <c r="P146" i="2"/>
  <c r="G157" i="2"/>
  <c r="X146" i="2"/>
  <c r="J146" i="2"/>
  <c r="Q9" i="2"/>
  <c r="T80" i="2"/>
  <c r="Y80" i="2"/>
  <c r="G146" i="2"/>
  <c r="P53" i="2"/>
  <c r="P9" i="2"/>
  <c r="J38" i="2"/>
  <c r="S104" i="2"/>
  <c r="Q157" i="2"/>
  <c r="O53" i="2"/>
  <c r="P157" i="2"/>
  <c r="S53" i="2"/>
  <c r="G38" i="2"/>
  <c r="X157" i="2"/>
  <c r="Q146" i="2"/>
  <c r="K157" i="2"/>
  <c r="O104" i="2"/>
  <c r="K113" i="2"/>
  <c r="J157" i="2"/>
  <c r="G113" i="2"/>
  <c r="K42" i="2"/>
  <c r="K38" i="2"/>
  <c r="P113" i="2"/>
  <c r="J53" i="2"/>
  <c r="X53" i="2"/>
  <c r="Q80" i="2"/>
  <c r="K53" i="2"/>
  <c r="N80" i="2"/>
  <c r="N9" i="2"/>
  <c r="Y157" i="2"/>
  <c r="Y113" i="2"/>
  <c r="S9" i="2"/>
  <c r="O157" i="2"/>
  <c r="G44" i="2"/>
  <c r="G53" i="2"/>
  <c r="P44" i="2"/>
  <c r="N53" i="2"/>
  <c r="J9" i="2"/>
  <c r="X42" i="2"/>
  <c r="X38" i="2"/>
  <c r="T38" i="2"/>
  <c r="N104" i="2"/>
  <c r="T44" i="2"/>
  <c r="T42" i="2"/>
  <c r="P38" i="2"/>
  <c r="N42" i="2"/>
  <c r="N44" i="2"/>
  <c r="S38" i="2"/>
  <c r="Y38" i="2"/>
  <c r="J113" i="2"/>
  <c r="K104" i="2"/>
  <c r="S44" i="2"/>
  <c r="O44" i="2"/>
  <c r="K146" i="2"/>
  <c r="Y53" i="2"/>
  <c r="O9" i="2"/>
  <c r="T146" i="2"/>
  <c r="T113" i="2"/>
  <c r="N38" i="2"/>
  <c r="Y104" i="2"/>
  <c r="G104" i="2"/>
  <c r="N113" i="2"/>
  <c r="Q113" i="2"/>
  <c r="Y44" i="2"/>
  <c r="X80" i="2"/>
  <c r="S146" i="2"/>
  <c r="X44" i="2"/>
  <c r="T9" i="2"/>
  <c r="S42" i="2"/>
  <c r="J42" i="2"/>
  <c r="Y42" i="2"/>
  <c r="O146" i="2"/>
  <c r="Y9" i="2"/>
  <c r="O80" i="2"/>
  <c r="O38" i="2"/>
  <c r="J80" i="2"/>
  <c r="T104" i="2"/>
  <c r="O42" i="2"/>
  <c r="J44" i="2"/>
  <c r="S113" i="2"/>
  <c r="Q44" i="2"/>
  <c r="P80" i="2"/>
  <c r="Q53" i="2"/>
  <c r="P42" i="2"/>
  <c r="T157" i="2"/>
  <c r="X9" i="2"/>
  <c r="N146" i="2"/>
  <c r="J104" i="2"/>
  <c r="G9" i="2"/>
  <c r="Q38" i="2"/>
  <c r="O148" i="2"/>
  <c r="N148" i="2"/>
  <c r="Y148" i="2"/>
  <c r="P148" i="2"/>
  <c r="T148" i="2"/>
  <c r="J148" i="2"/>
  <c r="G148" i="2"/>
  <c r="X148" i="2"/>
  <c r="S148" i="2"/>
  <c r="Q148" i="2"/>
  <c r="K148" i="2"/>
  <c r="I81" i="2"/>
  <c r="I138" i="2"/>
  <c r="B84" i="2"/>
  <c r="I144" i="2"/>
  <c r="F158" i="2"/>
  <c r="I38" i="2"/>
  <c r="F157" i="2"/>
  <c r="D145" i="2"/>
  <c r="B133" i="2"/>
  <c r="D108" i="2"/>
  <c r="F147" i="2"/>
  <c r="F33" i="2"/>
  <c r="I8" i="2"/>
  <c r="D68" i="2"/>
  <c r="F87" i="2"/>
  <c r="I151" i="2"/>
  <c r="I31" i="2"/>
  <c r="I156" i="2"/>
  <c r="D152" i="2"/>
  <c r="D102" i="2"/>
  <c r="I66" i="2"/>
  <c r="D130" i="2"/>
  <c r="I126" i="2"/>
  <c r="D51" i="2"/>
  <c r="D64" i="2"/>
  <c r="D47" i="2"/>
  <c r="F51" i="2"/>
  <c r="I51" i="2"/>
  <c r="F43" i="2"/>
  <c r="I95" i="2"/>
  <c r="D101" i="2"/>
  <c r="D4" i="2"/>
  <c r="F144" i="2"/>
  <c r="D62" i="2"/>
  <c r="F53" i="2"/>
  <c r="I34" i="2"/>
  <c r="D6" i="2"/>
  <c r="I23" i="2"/>
  <c r="I6" i="2"/>
  <c r="B105" i="2"/>
  <c r="B88" i="2"/>
  <c r="D63" i="2"/>
  <c r="B12" i="2"/>
  <c r="C135" i="2"/>
  <c r="B83" i="2"/>
  <c r="I89" i="2"/>
  <c r="B31" i="2"/>
  <c r="F112" i="2"/>
  <c r="D87" i="2"/>
  <c r="D20" i="2"/>
  <c r="B100" i="2"/>
  <c r="B66" i="2"/>
  <c r="I99" i="2"/>
  <c r="D129" i="2"/>
  <c r="B48" i="2"/>
  <c r="D21" i="2"/>
  <c r="D128" i="2"/>
  <c r="B45" i="2"/>
  <c r="D135" i="2"/>
  <c r="B54" i="2"/>
  <c r="I91" i="2"/>
  <c r="B91" i="2"/>
  <c r="I54" i="2"/>
  <c r="B62" i="2"/>
  <c r="D11" i="2"/>
  <c r="B120" i="2"/>
  <c r="D158" i="2"/>
  <c r="I80" i="2"/>
  <c r="B113" i="2"/>
  <c r="F145" i="2"/>
  <c r="B34" i="2"/>
  <c r="C162" i="2"/>
  <c r="D89" i="2"/>
  <c r="D7" i="2"/>
  <c r="B70" i="2"/>
  <c r="B61" i="2"/>
  <c r="I78" i="2"/>
  <c r="I39" i="2"/>
  <c r="D66" i="2"/>
  <c r="D99" i="2"/>
  <c r="F142" i="2"/>
  <c r="D60" i="2"/>
  <c r="I92" i="2"/>
  <c r="D143" i="2"/>
  <c r="F42" i="2"/>
  <c r="I88" i="2"/>
  <c r="I56" i="2"/>
  <c r="B56" i="2"/>
  <c r="F63" i="2"/>
  <c r="F6" i="2"/>
  <c r="C99" i="2"/>
  <c r="B117" i="2"/>
  <c r="D133" i="2"/>
  <c r="I7" i="2"/>
  <c r="B147" i="2"/>
  <c r="F125" i="2"/>
  <c r="D33" i="2"/>
  <c r="F8" i="2"/>
  <c r="B162" i="2"/>
  <c r="B86" i="2"/>
  <c r="F55" i="2"/>
  <c r="D126" i="2"/>
  <c r="B81" i="2"/>
  <c r="D144" i="2"/>
  <c r="B23" i="2"/>
  <c r="B144" i="2"/>
  <c r="F138" i="2"/>
  <c r="B44" i="2"/>
  <c r="B63" i="2"/>
  <c r="D56" i="2"/>
  <c r="D34" i="2"/>
  <c r="C73" i="2"/>
  <c r="D137" i="2"/>
  <c r="B131" i="2"/>
  <c r="F131" i="2"/>
  <c r="B33" i="2"/>
  <c r="B73" i="2"/>
  <c r="D147" i="2"/>
  <c r="I112" i="2"/>
  <c r="F86" i="2"/>
  <c r="F102" i="2"/>
  <c r="D100" i="2"/>
  <c r="I52" i="2"/>
  <c r="D52" i="2"/>
  <c r="B64" i="2"/>
  <c r="D17" i="2"/>
  <c r="F72" i="2"/>
  <c r="D140" i="2"/>
  <c r="F49" i="2"/>
  <c r="B40" i="2"/>
  <c r="D59" i="2"/>
  <c r="F95" i="2"/>
  <c r="I21" i="2"/>
  <c r="I15" i="2"/>
  <c r="D23" i="2"/>
  <c r="D120" i="2"/>
  <c r="F38" i="2"/>
  <c r="F44" i="2"/>
  <c r="F18" i="2"/>
  <c r="I145" i="2"/>
  <c r="F56" i="2"/>
  <c r="C70" i="2"/>
  <c r="F119" i="2"/>
  <c r="B108" i="2"/>
  <c r="I117" i="2"/>
  <c r="I33" i="2"/>
  <c r="D57" i="2"/>
  <c r="B151" i="2"/>
  <c r="D61" i="2"/>
  <c r="D31" i="2"/>
  <c r="B51" i="2"/>
  <c r="I134" i="2"/>
  <c r="B47" i="2"/>
  <c r="I10" i="2"/>
  <c r="B129" i="2"/>
  <c r="D48" i="2"/>
  <c r="I29" i="2"/>
  <c r="B29" i="2"/>
  <c r="D81" i="2"/>
  <c r="I11" i="2"/>
  <c r="F104" i="2"/>
  <c r="B104" i="2"/>
  <c r="D105" i="2"/>
  <c r="I26" i="2"/>
  <c r="C143" i="2"/>
  <c r="F137" i="2"/>
  <c r="I131" i="2"/>
  <c r="F89" i="2"/>
  <c r="B125" i="2"/>
  <c r="F22" i="2"/>
  <c r="B154" i="2"/>
  <c r="I73" i="2"/>
  <c r="B130" i="2"/>
  <c r="I102" i="2"/>
  <c r="F46" i="2"/>
  <c r="B126" i="2"/>
  <c r="I49" i="2"/>
  <c r="I27" i="2"/>
  <c r="I72" i="2"/>
  <c r="D27" i="2"/>
  <c r="B96" i="2"/>
  <c r="F29" i="2"/>
  <c r="D139" i="2"/>
  <c r="D155" i="2"/>
  <c r="B155" i="2"/>
  <c r="I97" i="2"/>
  <c r="D25" i="2"/>
  <c r="D58" i="2"/>
  <c r="I19" i="2"/>
  <c r="F19" i="2"/>
  <c r="F41" i="2"/>
  <c r="F62" i="2"/>
  <c r="I120" i="2"/>
  <c r="B143" i="2"/>
  <c r="I53" i="2"/>
  <c r="F113" i="2"/>
  <c r="D159" i="2"/>
  <c r="F12" i="2"/>
  <c r="C163" i="2"/>
  <c r="B16" i="2"/>
  <c r="F83" i="2"/>
  <c r="F16" i="2"/>
  <c r="I119" i="2"/>
  <c r="F154" i="2"/>
  <c r="I125" i="2"/>
  <c r="B78" i="2"/>
  <c r="F39" i="2"/>
  <c r="F156" i="2"/>
  <c r="D162" i="2"/>
  <c r="F11" i="2"/>
  <c r="I84" i="2"/>
  <c r="B158" i="2"/>
  <c r="B11" i="2"/>
  <c r="F80" i="2"/>
  <c r="D113" i="2"/>
  <c r="D44" i="2"/>
  <c r="I157" i="2"/>
  <c r="F88" i="2"/>
  <c r="B145" i="2"/>
  <c r="B18" i="2"/>
  <c r="D18" i="2"/>
  <c r="C106" i="2"/>
  <c r="I16" i="2"/>
  <c r="I85" i="2"/>
  <c r="F75" i="2"/>
  <c r="F57" i="2"/>
  <c r="D75" i="2"/>
  <c r="D125" i="2"/>
  <c r="D39" i="2"/>
  <c r="I160" i="2"/>
  <c r="B68" i="2"/>
  <c r="I68" i="2"/>
  <c r="D112" i="2"/>
  <c r="B39" i="2"/>
  <c r="F20" i="2"/>
  <c r="D86" i="2"/>
  <c r="B156" i="2"/>
  <c r="I162" i="2"/>
  <c r="F81" i="2"/>
  <c r="F15" i="2"/>
  <c r="B15" i="2"/>
  <c r="D15" i="2"/>
  <c r="B157" i="2"/>
  <c r="F34" i="2"/>
  <c r="C157" i="2"/>
  <c r="I133" i="2"/>
  <c r="I108" i="2"/>
  <c r="B7" i="2"/>
  <c r="B80" i="2"/>
  <c r="B38" i="2"/>
  <c r="I113" i="2"/>
  <c r="D104" i="2"/>
  <c r="I42" i="2"/>
  <c r="I18" i="2"/>
  <c r="C118" i="2"/>
  <c r="B119" i="2"/>
  <c r="D119" i="2"/>
  <c r="D131" i="2"/>
  <c r="F85" i="2"/>
  <c r="D16" i="2"/>
  <c r="I147" i="2"/>
  <c r="B75" i="2"/>
  <c r="B57" i="2"/>
  <c r="D8" i="2"/>
  <c r="D78" i="2"/>
  <c r="D134" i="2"/>
  <c r="F64" i="2"/>
  <c r="I64" i="2"/>
  <c r="D46" i="2"/>
  <c r="B2" i="2"/>
  <c r="B134" i="2"/>
  <c r="F129" i="2"/>
  <c r="B60" i="2"/>
  <c r="F23" i="2"/>
  <c r="F84" i="2"/>
  <c r="F120" i="2"/>
  <c r="D157" i="2"/>
  <c r="B42" i="2"/>
  <c r="F159" i="2"/>
  <c r="B6" i="2"/>
  <c r="I12" i="2"/>
  <c r="I105" i="2"/>
  <c r="D83" i="2"/>
  <c r="F133" i="2"/>
  <c r="D70" i="2"/>
  <c r="D160" i="2"/>
  <c r="I61" i="2"/>
  <c r="I87" i="2"/>
  <c r="I152" i="2"/>
  <c r="I100" i="2"/>
  <c r="B102" i="2"/>
  <c r="F152" i="2"/>
  <c r="F66" i="2"/>
  <c r="D2" i="2"/>
  <c r="D142" i="2"/>
  <c r="I142" i="2"/>
  <c r="B10" i="2"/>
  <c r="B17" i="2"/>
  <c r="B92" i="2"/>
  <c r="F17" i="2"/>
  <c r="I82" i="2"/>
  <c r="D95" i="2"/>
  <c r="D84" i="2"/>
  <c r="D80" i="2"/>
  <c r="I104" i="2"/>
  <c r="I44" i="2"/>
  <c r="B159" i="2"/>
  <c r="I143" i="2"/>
  <c r="B26" i="2"/>
  <c r="I63" i="2"/>
  <c r="I83" i="2"/>
  <c r="D85" i="2"/>
  <c r="F117" i="2"/>
  <c r="I137" i="2"/>
  <c r="F70" i="2"/>
  <c r="F78" i="2"/>
  <c r="F160" i="2"/>
  <c r="B160" i="2"/>
  <c r="F162" i="2"/>
  <c r="D156" i="2"/>
  <c r="B52" i="2"/>
  <c r="B152" i="2"/>
  <c r="F134" i="2"/>
  <c r="B49" i="2"/>
  <c r="D49" i="2"/>
  <c r="I140" i="2"/>
  <c r="D92" i="2"/>
  <c r="F40" i="2"/>
  <c r="I60" i="2"/>
  <c r="B28" i="2"/>
  <c r="F82" i="2"/>
  <c r="F4" i="2"/>
  <c r="D115" i="2"/>
  <c r="F135" i="2"/>
  <c r="D38" i="2"/>
  <c r="B85" i="2"/>
  <c r="F52" i="2"/>
  <c r="F126" i="2"/>
  <c r="I47" i="2"/>
  <c r="B99" i="2"/>
  <c r="I59" i="2"/>
  <c r="F69" i="2"/>
  <c r="D69" i="2"/>
  <c r="I155" i="2"/>
  <c r="D91" i="2"/>
  <c r="B128" i="2"/>
  <c r="B122" i="2"/>
  <c r="I110" i="2"/>
  <c r="I65" i="2"/>
  <c r="D110" i="2"/>
  <c r="I74" i="2"/>
  <c r="B149" i="2"/>
  <c r="B5" i="2"/>
  <c r="I37" i="2"/>
  <c r="D30" i="2"/>
  <c r="B116" i="2"/>
  <c r="F114" i="2"/>
  <c r="C126" i="2"/>
  <c r="C36" i="2"/>
  <c r="C146" i="2"/>
  <c r="C115" i="2"/>
  <c r="C16" i="2"/>
  <c r="C145" i="2"/>
  <c r="C113" i="2"/>
  <c r="C87" i="2"/>
  <c r="C71" i="2"/>
  <c r="C21" i="2"/>
  <c r="D138" i="2"/>
  <c r="D22" i="2"/>
  <c r="F151" i="2"/>
  <c r="F27" i="2"/>
  <c r="B9" i="2"/>
  <c r="I96" i="2"/>
  <c r="F97" i="2"/>
  <c r="F54" i="2"/>
  <c r="F50" i="2"/>
  <c r="B110" i="2"/>
  <c r="F67" i="2"/>
  <c r="I149" i="2"/>
  <c r="D35" i="2"/>
  <c r="F36" i="2"/>
  <c r="D5" i="2"/>
  <c r="B141" i="2"/>
  <c r="D136" i="2"/>
  <c r="C57" i="2"/>
  <c r="C40" i="2"/>
  <c r="F73" i="2"/>
  <c r="F92" i="2"/>
  <c r="I17" i="2"/>
  <c r="D28" i="2"/>
  <c r="I43" i="2"/>
  <c r="I153" i="2"/>
  <c r="B127" i="2"/>
  <c r="D77" i="2"/>
  <c r="F14" i="2"/>
  <c r="I163" i="2"/>
  <c r="I161" i="2"/>
  <c r="I62" i="2"/>
  <c r="D53" i="2"/>
  <c r="F31" i="2"/>
  <c r="B27" i="2"/>
  <c r="F48" i="2"/>
  <c r="B59" i="2"/>
  <c r="B69" i="2"/>
  <c r="F109" i="2"/>
  <c r="F21" i="2"/>
  <c r="F91" i="2"/>
  <c r="I77" i="2"/>
  <c r="D127" i="2"/>
  <c r="B77" i="2"/>
  <c r="I35" i="2"/>
  <c r="B36" i="2"/>
  <c r="F32" i="2"/>
  <c r="F150" i="2"/>
  <c r="D71" i="2"/>
  <c r="I13" i="2"/>
  <c r="I79" i="2"/>
  <c r="F24" i="2"/>
  <c r="C91" i="2"/>
  <c r="C134" i="2"/>
  <c r="C101" i="2"/>
  <c r="C7" i="2"/>
  <c r="C82" i="2"/>
  <c r="C104" i="2"/>
  <c r="C88" i="2"/>
  <c r="C125" i="2"/>
  <c r="C109" i="2"/>
  <c r="C130" i="2"/>
  <c r="C72" i="2"/>
  <c r="C75" i="2"/>
  <c r="I128" i="2"/>
  <c r="F7" i="2"/>
  <c r="B142" i="2"/>
  <c r="F2" i="2"/>
  <c r="D55" i="2"/>
  <c r="B140" i="2"/>
  <c r="D29" i="2"/>
  <c r="F101" i="2"/>
  <c r="D97" i="2"/>
  <c r="B21" i="2"/>
  <c r="I135" i="2"/>
  <c r="F127" i="2"/>
  <c r="B107" i="2"/>
  <c r="D74" i="2"/>
  <c r="B35" i="2"/>
  <c r="B32" i="2"/>
  <c r="D132" i="2"/>
  <c r="F79" i="2"/>
  <c r="C141" i="2"/>
  <c r="C68" i="2"/>
  <c r="C120" i="2"/>
  <c r="C147" i="2"/>
  <c r="C97" i="2"/>
  <c r="C116" i="2"/>
  <c r="C2" i="2"/>
  <c r="C59" i="2"/>
  <c r="C139" i="2"/>
  <c r="C19" i="2"/>
  <c r="B90" i="2"/>
  <c r="F163" i="2"/>
  <c r="D41" i="2"/>
  <c r="I41" i="2"/>
  <c r="I141" i="2"/>
  <c r="F161" i="2"/>
  <c r="F30" i="2"/>
  <c r="I114" i="2"/>
  <c r="C49" i="2"/>
  <c r="C60" i="2"/>
  <c r="C45" i="2"/>
  <c r="C34" i="2"/>
  <c r="C94" i="2"/>
  <c r="C38" i="2"/>
  <c r="B148" i="2"/>
  <c r="F93" i="2"/>
  <c r="B123" i="2"/>
  <c r="D42" i="2"/>
  <c r="F26" i="2"/>
  <c r="F108" i="2"/>
  <c r="B8" i="2"/>
  <c r="B20" i="2"/>
  <c r="B55" i="2"/>
  <c r="F10" i="2"/>
  <c r="B82" i="2"/>
  <c r="F9" i="2"/>
  <c r="F153" i="2"/>
  <c r="B153" i="2"/>
  <c r="I69" i="2"/>
  <c r="I94" i="2"/>
  <c r="B19" i="2"/>
  <c r="F115" i="2"/>
  <c r="D19" i="2"/>
  <c r="F77" i="2"/>
  <c r="I116" i="2"/>
  <c r="C150" i="2"/>
  <c r="C67" i="2"/>
  <c r="C63" i="2"/>
  <c r="F76" i="2"/>
  <c r="D151" i="2"/>
  <c r="I20" i="2"/>
  <c r="I25" i="2"/>
  <c r="D14" i="2"/>
  <c r="B98" i="2"/>
  <c r="I130" i="2"/>
  <c r="B46" i="2"/>
  <c r="I129" i="2"/>
  <c r="F139" i="2"/>
  <c r="B139" i="2"/>
  <c r="I139" i="2"/>
  <c r="B94" i="2"/>
  <c r="D109" i="2"/>
  <c r="D54" i="2"/>
  <c r="I115" i="2"/>
  <c r="F103" i="2"/>
  <c r="I124" i="2"/>
  <c r="D123" i="2"/>
  <c r="B163" i="2"/>
  <c r="I106" i="2"/>
  <c r="D106" i="2"/>
  <c r="B118" i="2"/>
  <c r="B150" i="2"/>
  <c r="I121" i="2"/>
  <c r="I154" i="2"/>
  <c r="B87" i="2"/>
  <c r="D10" i="2"/>
  <c r="B43" i="2"/>
  <c r="I48" i="2"/>
  <c r="I9" i="2"/>
  <c r="D153" i="2"/>
  <c r="I122" i="2"/>
  <c r="D122" i="2"/>
  <c r="I123" i="2"/>
  <c r="I107" i="2"/>
  <c r="I14" i="2"/>
  <c r="B161" i="2"/>
  <c r="I146" i="2"/>
  <c r="D12" i="2"/>
  <c r="B22" i="2"/>
  <c r="F130" i="2"/>
  <c r="I46" i="2"/>
  <c r="F60" i="2"/>
  <c r="I40" i="2"/>
  <c r="B95" i="2"/>
  <c r="D9" i="2"/>
  <c r="B58" i="2"/>
  <c r="I58" i="2"/>
  <c r="D50" i="2"/>
  <c r="B41" i="2"/>
  <c r="I76" i="2"/>
  <c r="B71" i="2"/>
  <c r="D111" i="2"/>
  <c r="F118" i="2"/>
  <c r="B132" i="2"/>
  <c r="F13" i="2"/>
  <c r="I24" i="2"/>
  <c r="C119" i="2"/>
  <c r="C129" i="2"/>
  <c r="C55" i="2"/>
  <c r="C100" i="2"/>
  <c r="C98" i="2"/>
  <c r="C13" i="2"/>
  <c r="C110" i="2"/>
  <c r="B53" i="2"/>
  <c r="F68" i="2"/>
  <c r="F61" i="2"/>
  <c r="I55" i="2"/>
  <c r="B72" i="2"/>
  <c r="F59" i="2"/>
  <c r="B97" i="2"/>
  <c r="B4" i="2"/>
  <c r="F25" i="2"/>
  <c r="F45" i="2"/>
  <c r="I45" i="2"/>
  <c r="F123" i="2"/>
  <c r="F65" i="2"/>
  <c r="F124" i="2"/>
  <c r="F107" i="2"/>
  <c r="D65" i="2"/>
  <c r="F110" i="2"/>
  <c r="B50" i="2"/>
  <c r="I32" i="2"/>
  <c r="D36" i="2"/>
  <c r="D161" i="2"/>
  <c r="I5" i="2"/>
  <c r="F132" i="2"/>
  <c r="C131" i="2"/>
  <c r="C149" i="2"/>
  <c r="C137" i="2"/>
  <c r="C64" i="2"/>
  <c r="C154" i="2"/>
  <c r="C95" i="2"/>
  <c r="C117" i="2"/>
  <c r="C159" i="2"/>
  <c r="C96" i="2"/>
  <c r="D88" i="2"/>
  <c r="I57" i="2"/>
  <c r="D96" i="2"/>
  <c r="D82" i="2"/>
  <c r="B25" i="2"/>
  <c r="F155" i="2"/>
  <c r="B101" i="2"/>
  <c r="I4" i="2"/>
  <c r="F128" i="2"/>
  <c r="D45" i="2"/>
  <c r="I67" i="2"/>
  <c r="I93" i="2"/>
  <c r="B67" i="2"/>
  <c r="I36" i="2"/>
  <c r="D146" i="2"/>
  <c r="B146" i="2"/>
  <c r="F37" i="2"/>
  <c r="C108" i="2"/>
  <c r="C18" i="2"/>
  <c r="C153" i="2"/>
  <c r="C133" i="2"/>
  <c r="C142" i="2"/>
  <c r="C89" i="2"/>
  <c r="C32" i="2"/>
  <c r="C152" i="2"/>
  <c r="C26" i="2"/>
  <c r="I159" i="2"/>
  <c r="D117" i="2"/>
  <c r="D73" i="2"/>
  <c r="I75" i="2"/>
  <c r="I2" i="2"/>
  <c r="F140" i="2"/>
  <c r="B109" i="2"/>
  <c r="F94" i="2"/>
  <c r="D94" i="2"/>
  <c r="I101" i="2"/>
  <c r="B135" i="2"/>
  <c r="I103" i="2"/>
  <c r="D103" i="2"/>
  <c r="B137" i="2"/>
  <c r="I22" i="2"/>
  <c r="I86" i="2"/>
  <c r="I28" i="2"/>
  <c r="F96" i="2"/>
  <c r="B103" i="2"/>
  <c r="F58" i="2"/>
  <c r="B124" i="2"/>
  <c r="B93" i="2"/>
  <c r="I50" i="2"/>
  <c r="I127" i="2"/>
  <c r="D149" i="2"/>
  <c r="B76" i="2"/>
  <c r="D76" i="2"/>
  <c r="B74" i="2"/>
  <c r="B111" i="2"/>
  <c r="I111" i="2"/>
  <c r="F111" i="2"/>
  <c r="I150" i="2"/>
  <c r="F98" i="2"/>
  <c r="I30" i="2"/>
  <c r="D114" i="2"/>
  <c r="B37" i="2"/>
  <c r="F116" i="2"/>
  <c r="I136" i="2"/>
  <c r="B79" i="2"/>
  <c r="C4" i="2"/>
  <c r="C56" i="2"/>
  <c r="C107" i="2"/>
  <c r="C17" i="2"/>
  <c r="C114" i="2"/>
  <c r="C43" i="2"/>
  <c r="C81" i="2"/>
  <c r="C23" i="2"/>
  <c r="C50" i="2"/>
  <c r="F122" i="2"/>
  <c r="B138" i="2"/>
  <c r="D26" i="2"/>
  <c r="D154" i="2"/>
  <c r="B112" i="2"/>
  <c r="F99" i="2"/>
  <c r="D40" i="2"/>
  <c r="D43" i="2"/>
  <c r="B115" i="2"/>
  <c r="I158" i="2"/>
  <c r="D72" i="2"/>
  <c r="F74" i="2"/>
  <c r="B106" i="2"/>
  <c r="C42" i="2"/>
  <c r="C48" i="2"/>
  <c r="C127" i="2"/>
  <c r="C78" i="2"/>
  <c r="F148" i="2"/>
  <c r="I90" i="2"/>
  <c r="D118" i="2"/>
  <c r="D150" i="2"/>
  <c r="I132" i="2"/>
  <c r="D24" i="2"/>
  <c r="C92" i="2"/>
  <c r="C155" i="2"/>
  <c r="C161" i="2"/>
  <c r="C144" i="2"/>
  <c r="I148" i="2"/>
  <c r="C22" i="2"/>
  <c r="B24" i="2"/>
  <c r="C31" i="2"/>
  <c r="F143" i="2"/>
  <c r="D148" i="2"/>
  <c r="C93" i="2"/>
  <c r="F105" i="2"/>
  <c r="D124" i="2"/>
  <c r="D90" i="2"/>
  <c r="I98" i="2"/>
  <c r="C58" i="2"/>
  <c r="C105" i="2"/>
  <c r="C10" i="2"/>
  <c r="C156" i="2"/>
  <c r="B89" i="2"/>
  <c r="D93" i="2"/>
  <c r="F149" i="2"/>
  <c r="F121" i="2"/>
  <c r="C47" i="2"/>
  <c r="C14" i="2"/>
  <c r="C123" i="2"/>
  <c r="C83" i="2"/>
  <c r="C15" i="2"/>
  <c r="C86" i="2"/>
  <c r="C29" i="2"/>
  <c r="F136" i="2"/>
  <c r="C52" i="2"/>
  <c r="C8" i="2"/>
  <c r="C122" i="2"/>
  <c r="C111" i="2"/>
  <c r="F28" i="2"/>
  <c r="C84" i="2"/>
  <c r="D121" i="2"/>
  <c r="C79" i="2"/>
  <c r="C102" i="2"/>
  <c r="C62" i="2"/>
  <c r="C80" i="2"/>
  <c r="C112" i="2"/>
  <c r="C46" i="2"/>
  <c r="D116" i="2"/>
  <c r="C20" i="2"/>
  <c r="C128" i="2"/>
  <c r="D107" i="2"/>
  <c r="C24" i="2"/>
  <c r="C90" i="2"/>
  <c r="C140" i="2"/>
  <c r="C77" i="2"/>
  <c r="C27" i="2"/>
  <c r="C25" i="2"/>
  <c r="C12" i="2"/>
  <c r="D32" i="2"/>
  <c r="C138" i="2"/>
  <c r="C74" i="2"/>
  <c r="F146" i="2"/>
  <c r="I71" i="2"/>
  <c r="B121" i="2"/>
  <c r="C37" i="2"/>
  <c r="C132" i="2"/>
  <c r="C30" i="2"/>
  <c r="C103" i="2"/>
  <c r="C28" i="2"/>
  <c r="C121" i="2"/>
  <c r="C151" i="2"/>
  <c r="C69" i="2"/>
  <c r="C39" i="2"/>
  <c r="I70" i="2"/>
  <c r="D67" i="2"/>
  <c r="F90" i="2"/>
  <c r="D141" i="2"/>
  <c r="B30" i="2"/>
  <c r="C9" i="2"/>
  <c r="C53" i="2"/>
  <c r="C6" i="2"/>
  <c r="C85" i="2"/>
  <c r="C66" i="2"/>
  <c r="C158" i="2"/>
  <c r="F71" i="2"/>
  <c r="F35" i="2"/>
  <c r="B114" i="2"/>
  <c r="D79" i="2"/>
  <c r="C76" i="2"/>
  <c r="D37" i="2"/>
  <c r="F100" i="2"/>
  <c r="C41" i="2"/>
  <c r="C61" i="2"/>
  <c r="C65" i="2"/>
  <c r="C35" i="2"/>
  <c r="C136" i="2"/>
  <c r="B13" i="2"/>
  <c r="B136" i="2"/>
  <c r="I109" i="2"/>
  <c r="C33" i="2"/>
  <c r="C44" i="2"/>
  <c r="F5" i="2"/>
  <c r="C11" i="2"/>
  <c r="C160" i="2"/>
  <c r="C124" i="2"/>
  <c r="C5" i="2"/>
  <c r="C148" i="2"/>
  <c r="C51" i="2"/>
  <c r="B14" i="2"/>
  <c r="C54" i="2"/>
  <c r="B65" i="2"/>
  <c r="I118" i="2"/>
  <c r="D98" i="2"/>
  <c r="F47" i="2"/>
  <c r="D163" i="2"/>
  <c r="F106" i="2"/>
  <c r="F141" i="2"/>
  <c r="D13" i="2"/>
</calcChain>
</file>

<file path=xl/sharedStrings.xml><?xml version="1.0" encoding="utf-8"?>
<sst xmlns="http://schemas.openxmlformats.org/spreadsheetml/2006/main" count="3459" uniqueCount="538">
  <si>
    <t>Ticker</t>
  </si>
  <si>
    <t>Short Name</t>
  </si>
  <si>
    <t>Mkt Cap</t>
  </si>
  <si>
    <t>Country</t>
  </si>
  <si>
    <t>ESG Scr Percntle</t>
  </si>
  <si>
    <t>Env Pillr Percntle</t>
  </si>
  <si>
    <t>ESG Scr</t>
  </si>
  <si>
    <t>Env Scr</t>
  </si>
  <si>
    <t>Env Pillr Disc</t>
  </si>
  <si>
    <t>Environmental Pillar Disclosure</t>
  </si>
  <si>
    <t>Sustain Prod Iss Scr</t>
  </si>
  <si>
    <t>Enrg Mgmt Iss Scr</t>
  </si>
  <si>
    <t>Wste Mgmt Iss Scr</t>
  </si>
  <si>
    <t>Clmt Expsr Iss Scr</t>
  </si>
  <si>
    <t>Sustain Prod Iss Disc Fctr</t>
  </si>
  <si>
    <t>Enrg Mgmt Iss Disc Fctr</t>
  </si>
  <si>
    <t>Sustainable Product Issue Disclosure Factor</t>
  </si>
  <si>
    <t>Energy Management Issue Disclosure Factor</t>
  </si>
  <si>
    <t>Sustain Prod Iss Perf Scr</t>
  </si>
  <si>
    <t>Enrg Mgmt Iss Perf Scr</t>
  </si>
  <si>
    <t>EEC AB</t>
  </si>
  <si>
    <t>29%</t>
  </si>
  <si>
    <t>0%</t>
  </si>
  <si>
    <t>40%</t>
  </si>
  <si>
    <t>Telecommunications, Cable &amp; Satellite Services  (160)</t>
  </si>
  <si>
    <t>941 HK</t>
  </si>
  <si>
    <t>44%</t>
  </si>
  <si>
    <t>60%</t>
  </si>
  <si>
    <t>TMUS US</t>
  </si>
  <si>
    <t>79%</t>
  </si>
  <si>
    <t>22%</t>
  </si>
  <si>
    <t>100%</t>
  </si>
  <si>
    <t>VZ US</t>
  </si>
  <si>
    <t>88%</t>
  </si>
  <si>
    <t>56%</t>
  </si>
  <si>
    <t>T US</t>
  </si>
  <si>
    <t>DTE GR</t>
  </si>
  <si>
    <t>9984 JP</t>
  </si>
  <si>
    <t>BHARTI IN</t>
  </si>
  <si>
    <t>CMCSA US</t>
  </si>
  <si>
    <t>74%</t>
  </si>
  <si>
    <t>9432 JP</t>
  </si>
  <si>
    <t>AMXB MM</t>
  </si>
  <si>
    <t>59%</t>
  </si>
  <si>
    <t>80%</t>
  </si>
  <si>
    <t>728 HK</t>
  </si>
  <si>
    <t>9433 JP</t>
  </si>
  <si>
    <t>9434 JP</t>
  </si>
  <si>
    <t>ST SP</t>
  </si>
  <si>
    <t>STC AB</t>
  </si>
  <si>
    <t>ORA FP</t>
  </si>
  <si>
    <t>94%</t>
  </si>
  <si>
    <t>78%</t>
  </si>
  <si>
    <t>EAND UH</t>
  </si>
  <si>
    <t>SCMN SW</t>
  </si>
  <si>
    <t>TLS AU</t>
  </si>
  <si>
    <t>65%</t>
  </si>
  <si>
    <t>VOD LN</t>
  </si>
  <si>
    <t>CHTR US</t>
  </si>
  <si>
    <t>ADVANC TB</t>
  </si>
  <si>
    <t>2412 TT</t>
  </si>
  <si>
    <t>BT/A LN</t>
  </si>
  <si>
    <t>762 HK</t>
  </si>
  <si>
    <t>VIVT3 BZ</t>
  </si>
  <si>
    <t>TEF SM</t>
  </si>
  <si>
    <t>TEL NO</t>
  </si>
  <si>
    <t>85%</t>
  </si>
  <si>
    <t>MTN SJ</t>
  </si>
  <si>
    <t>BCE CN</t>
  </si>
  <si>
    <t>KPN NA</t>
  </si>
  <si>
    <t>600050 CH</t>
  </si>
  <si>
    <t>TELIA SS</t>
  </si>
  <si>
    <t>AAF LN</t>
  </si>
  <si>
    <t>T CN</t>
  </si>
  <si>
    <t>VOD SJ</t>
  </si>
  <si>
    <t>TLKM IJ</t>
  </si>
  <si>
    <t>RCI/B CN</t>
  </si>
  <si>
    <t>TIT IM</t>
  </si>
  <si>
    <t>TRUE TB</t>
  </si>
  <si>
    <t>TEL2B SS</t>
  </si>
  <si>
    <t>TIGO US</t>
  </si>
  <si>
    <t>TIMS3 BZ</t>
  </si>
  <si>
    <t>017670 KS</t>
  </si>
  <si>
    <t>3045 TT</t>
  </si>
  <si>
    <t>DU UH</t>
  </si>
  <si>
    <t>6823 HK</t>
  </si>
  <si>
    <t>50%</t>
  </si>
  <si>
    <t>ORDS QD</t>
  </si>
  <si>
    <t>MTNN NL</t>
  </si>
  <si>
    <t>4904 TT</t>
  </si>
  <si>
    <t>030200 KS</t>
  </si>
  <si>
    <t>IDEA IN</t>
  </si>
  <si>
    <t>SAFCOM KN</t>
  </si>
  <si>
    <t>IAM MC</t>
  </si>
  <si>
    <t>CDB MK</t>
  </si>
  <si>
    <t>QBR/B CN</t>
  </si>
  <si>
    <t>HTO GA</t>
  </si>
  <si>
    <t>ELISA FH</t>
  </si>
  <si>
    <t>BHARTIHE IN</t>
  </si>
  <si>
    <t>SIRI US</t>
  </si>
  <si>
    <t>ZAIN KK</t>
  </si>
  <si>
    <t>LUMN US</t>
  </si>
  <si>
    <t>TKA AV</t>
  </si>
  <si>
    <t>O2D GR</t>
  </si>
  <si>
    <t>BEZQ IT</t>
  </si>
  <si>
    <t>LBRDA US</t>
  </si>
  <si>
    <t>MTELEKOM HB</t>
  </si>
  <si>
    <t>MAXIS MK</t>
  </si>
  <si>
    <t>T MK</t>
  </si>
  <si>
    <t>MTNGH GN</t>
  </si>
  <si>
    <t>UTDI GR</t>
  </si>
  <si>
    <t>8 HK</t>
  </si>
  <si>
    <t>TPG AU</t>
  </si>
  <si>
    <t>TCELL TI</t>
  </si>
  <si>
    <t>TECO2 AR</t>
  </si>
  <si>
    <t>TDS US</t>
  </si>
  <si>
    <t>OPL PW</t>
  </si>
  <si>
    <t>032640 KS</t>
  </si>
  <si>
    <t>1U1 GR</t>
  </si>
  <si>
    <t>TTKOM TI</t>
  </si>
  <si>
    <t>AXIATA MK</t>
  </si>
  <si>
    <t>600637 CH</t>
  </si>
  <si>
    <t>TEL PM</t>
  </si>
  <si>
    <t>TCOM IN</t>
  </si>
  <si>
    <t>SUNN SW</t>
  </si>
  <si>
    <t>AD US</t>
  </si>
  <si>
    <t>LBTYA US</t>
  </si>
  <si>
    <t>ISAT IJ</t>
  </si>
  <si>
    <t>GLO PM</t>
  </si>
  <si>
    <t>FNTN GR</t>
  </si>
  <si>
    <t>VEON US</t>
  </si>
  <si>
    <t>HT CZ</t>
  </si>
  <si>
    <t>NOS PL</t>
  </si>
  <si>
    <t>EXCL IJ</t>
  </si>
  <si>
    <t>300638 CH</t>
  </si>
  <si>
    <t>NETLINK SP</t>
  </si>
  <si>
    <t>OTEL OM</t>
  </si>
  <si>
    <t>MEGACPO MM</t>
  </si>
  <si>
    <t>VFQS QD</t>
  </si>
  <si>
    <t>600959 CH</t>
  </si>
  <si>
    <t>PROX BB</t>
  </si>
  <si>
    <t>ZAINKSA AB</t>
  </si>
  <si>
    <t>TDC MK</t>
  </si>
  <si>
    <t>GRAM BD</t>
  </si>
  <si>
    <t>UNIT US</t>
  </si>
  <si>
    <t>CNU NZ</t>
  </si>
  <si>
    <t>SPK NZ</t>
  </si>
  <si>
    <t>2477 HK</t>
  </si>
  <si>
    <t>PTNR IT</t>
  </si>
  <si>
    <t>TUA AU</t>
  </si>
  <si>
    <t>BEYON BI</t>
  </si>
  <si>
    <t>CPS PW</t>
  </si>
  <si>
    <t>9436 JP</t>
  </si>
  <si>
    <t>000156 CH</t>
  </si>
  <si>
    <t>CEL IT</t>
  </si>
  <si>
    <t>DIGI RO</t>
  </si>
  <si>
    <t>CCA CN</t>
  </si>
  <si>
    <t>TKG SJ</t>
  </si>
  <si>
    <t>LILA US</t>
  </si>
  <si>
    <t>OBEL BB</t>
  </si>
  <si>
    <t>1310 HK</t>
  </si>
  <si>
    <t>TLEVICPO MM</t>
  </si>
  <si>
    <t>CNVRG PM</t>
  </si>
  <si>
    <t>TEL1L LH</t>
  </si>
  <si>
    <t>STH SP</t>
  </si>
  <si>
    <t>1883 HK</t>
  </si>
  <si>
    <t>ENTEL CI</t>
  </si>
  <si>
    <t>IDT US</t>
  </si>
  <si>
    <t>SLC AU</t>
  </si>
  <si>
    <t>290A JP</t>
  </si>
  <si>
    <t>ABB AU</t>
  </si>
  <si>
    <t>15%</t>
  </si>
  <si>
    <t>20%</t>
  </si>
  <si>
    <t>CCOI US</t>
  </si>
  <si>
    <t>JTEL JR</t>
  </si>
  <si>
    <t>DIAL SL</t>
  </si>
  <si>
    <t>TLSG SV</t>
  </si>
  <si>
    <t>TTLS IN</t>
  </si>
  <si>
    <t>EAT AB</t>
  </si>
  <si>
    <t>215 HK</t>
  </si>
  <si>
    <t>315 HK</t>
  </si>
  <si>
    <t>ORDS OM</t>
  </si>
  <si>
    <t>OPTU US</t>
  </si>
  <si>
    <t>BAHNB SS</t>
  </si>
  <si>
    <t>GOGO US</t>
  </si>
  <si>
    <t>CTC CI</t>
  </si>
  <si>
    <t>CABO US</t>
  </si>
  <si>
    <t>BLU SJ</t>
  </si>
  <si>
    <t>9416 JP</t>
  </si>
  <si>
    <t>3661 JP</t>
  </si>
  <si>
    <t>GO MV</t>
  </si>
  <si>
    <t>6464 TT</t>
  </si>
  <si>
    <t>JAS TB</t>
  </si>
  <si>
    <t>TC1 GR</t>
  </si>
  <si>
    <t>SKT NZ</t>
  </si>
  <si>
    <t>4390 JP</t>
  </si>
  <si>
    <t>3843 JP</t>
  </si>
  <si>
    <t>MTNL IN</t>
  </si>
  <si>
    <t>ASTRO MK</t>
  </si>
  <si>
    <t>DITV IN</t>
  </si>
  <si>
    <t>TSL IM</t>
  </si>
  <si>
    <t>RCOM IN</t>
  </si>
  <si>
    <t>Govnce Pillr Percntle</t>
  </si>
  <si>
    <t>Gov Scr</t>
  </si>
  <si>
    <t>Govnce Pillr Disc</t>
  </si>
  <si>
    <t>Governance Pillar Disclosure</t>
  </si>
  <si>
    <t>Brd Comp Theme Scr</t>
  </si>
  <si>
    <t>Exctv Cmpnstn Scr</t>
  </si>
  <si>
    <t>Sharehldr Rgt Thm Scr</t>
  </si>
  <si>
    <t>Aud Thm Scr</t>
  </si>
  <si>
    <t>Board Comp Thm Disc</t>
  </si>
  <si>
    <t>Exctv Cmpnstn Thm Disc</t>
  </si>
  <si>
    <t>Sharehldr Rgt Thm Disc</t>
  </si>
  <si>
    <t>Aud Thm Disc</t>
  </si>
  <si>
    <t>Board Composition Theme Disclosure</t>
  </si>
  <si>
    <t>Executive Compensation Theme Disclosure</t>
  </si>
  <si>
    <t>Shareholder Rights Theme Disclosure</t>
  </si>
  <si>
    <t>Audit Theme Disclosure</t>
  </si>
  <si>
    <t>ETIHAD ETISALAT</t>
  </si>
  <si>
    <t>SA</t>
  </si>
  <si>
    <t>87%</t>
  </si>
  <si>
    <t>92%</t>
  </si>
  <si>
    <t>76%</t>
  </si>
  <si>
    <t>CHINA MOBILE-H</t>
  </si>
  <si>
    <t>CN</t>
  </si>
  <si>
    <t>93%</t>
  </si>
  <si>
    <t>89%</t>
  </si>
  <si>
    <t>91%</t>
  </si>
  <si>
    <t>T-MOBILE US INC</t>
  </si>
  <si>
    <t>US</t>
  </si>
  <si>
    <t>VERIZON COMMUNIC</t>
  </si>
  <si>
    <t>AT&amp;T INC</t>
  </si>
  <si>
    <t>DEUTSCHE TELEKOM</t>
  </si>
  <si>
    <t>DE</t>
  </si>
  <si>
    <t>SOFTBANK GROUP C</t>
  </si>
  <si>
    <t>JP</t>
  </si>
  <si>
    <t>BHARTI AIRTEL</t>
  </si>
  <si>
    <t>IN</t>
  </si>
  <si>
    <t>#N/A N/A</t>
  </si>
  <si>
    <t>COMCAST CORP-A</t>
  </si>
  <si>
    <t>99%</t>
  </si>
  <si>
    <t>NTT INC</t>
  </si>
  <si>
    <t>AMERICA MOVIL-B</t>
  </si>
  <si>
    <t>MX</t>
  </si>
  <si>
    <t>CHINA TELECOM-H</t>
  </si>
  <si>
    <t>KDDI CORP</t>
  </si>
  <si>
    <t>SOFTBANK CORP</t>
  </si>
  <si>
    <t>SINGAPORE TELECO</t>
  </si>
  <si>
    <t>SG</t>
  </si>
  <si>
    <t>SAUDI TELECOM CO</t>
  </si>
  <si>
    <t>ORANGE</t>
  </si>
  <si>
    <t>FR</t>
  </si>
  <si>
    <t>ETISALAT</t>
  </si>
  <si>
    <t>AE</t>
  </si>
  <si>
    <t>97%</t>
  </si>
  <si>
    <t>86%</t>
  </si>
  <si>
    <t>SWISSCOM AG-REG</t>
  </si>
  <si>
    <t>CH</t>
  </si>
  <si>
    <t>98%</t>
  </si>
  <si>
    <t>TELSTRA GROUP LT</t>
  </si>
  <si>
    <t>AU</t>
  </si>
  <si>
    <t>VODAFONE GROUP</t>
  </si>
  <si>
    <t>GB</t>
  </si>
  <si>
    <t>CHARTER COMMUN-A</t>
  </si>
  <si>
    <t>ADVANCED INFO</t>
  </si>
  <si>
    <t>TH</t>
  </si>
  <si>
    <t>57%</t>
  </si>
  <si>
    <t>CHUNGHWA TELECOM</t>
  </si>
  <si>
    <t>TW</t>
  </si>
  <si>
    <t>BT GROUP PLC</t>
  </si>
  <si>
    <t>CHINA UNICOM</t>
  </si>
  <si>
    <t>TELEF BRASIL</t>
  </si>
  <si>
    <t>BR</t>
  </si>
  <si>
    <t>TELEFONICA</t>
  </si>
  <si>
    <t>ES</t>
  </si>
  <si>
    <t>TELENOR ASA</t>
  </si>
  <si>
    <t>NO</t>
  </si>
  <si>
    <t>MTN GROUP LTD</t>
  </si>
  <si>
    <t>ZA</t>
  </si>
  <si>
    <t>BCE INC</t>
  </si>
  <si>
    <t>CA</t>
  </si>
  <si>
    <t>KPN (KONIN) NV</t>
  </si>
  <si>
    <t>NL</t>
  </si>
  <si>
    <t>CHINA UNITED-A</t>
  </si>
  <si>
    <t>58%</t>
  </si>
  <si>
    <t>81%</t>
  </si>
  <si>
    <t>TELIA CO AB</t>
  </si>
  <si>
    <t>SE</t>
  </si>
  <si>
    <t>96%</t>
  </si>
  <si>
    <t>95%</t>
  </si>
  <si>
    <t>AIRTEL AFRICA</t>
  </si>
  <si>
    <t>NG</t>
  </si>
  <si>
    <t>TELUS CORP</t>
  </si>
  <si>
    <t>VODACOM GROUP</t>
  </si>
  <si>
    <t>TELKOM INDONESIA</t>
  </si>
  <si>
    <t>ID</t>
  </si>
  <si>
    <t>ROGERS COMMUNI-B</t>
  </si>
  <si>
    <t>63%</t>
  </si>
  <si>
    <t>TELECOM ITALIA S</t>
  </si>
  <si>
    <t>IT</t>
  </si>
  <si>
    <t>TRUE CORP PCL</t>
  </si>
  <si>
    <t>TELE2 AB-B SHS</t>
  </si>
  <si>
    <t>MILLICOM INTL</t>
  </si>
  <si>
    <t>GT</t>
  </si>
  <si>
    <t>TIM SA</t>
  </si>
  <si>
    <t>SK TELECOM</t>
  </si>
  <si>
    <t>KR</t>
  </si>
  <si>
    <t>TAIWAN MOBILE</t>
  </si>
  <si>
    <t>EMIRATES INTEGRA</t>
  </si>
  <si>
    <t>HKT-SS</t>
  </si>
  <si>
    <t>HK</t>
  </si>
  <si>
    <t>#N/A Field Not Applicable</t>
  </si>
  <si>
    <t>OOREDOO QSC</t>
  </si>
  <si>
    <t>QA</t>
  </si>
  <si>
    <t>MTN NIGERIA COMM</t>
  </si>
  <si>
    <t>FAR EASTONE TELE</t>
  </si>
  <si>
    <t>KT CORP</t>
  </si>
  <si>
    <t>VODAFONE IDEA LT</t>
  </si>
  <si>
    <t>SAFARICOM PLC</t>
  </si>
  <si>
    <t>KE</t>
  </si>
  <si>
    <t>ITISSA AL-MAGHRI</t>
  </si>
  <si>
    <t>MA</t>
  </si>
  <si>
    <t>90%</t>
  </si>
  <si>
    <t>68%</t>
  </si>
  <si>
    <t>CELCOMDIGI BHD</t>
  </si>
  <si>
    <t>MY</t>
  </si>
  <si>
    <t>QUEBECOR INC-B</t>
  </si>
  <si>
    <t>HELLENIC TELECOM</t>
  </si>
  <si>
    <t>GR</t>
  </si>
  <si>
    <t>ELISA OYJ</t>
  </si>
  <si>
    <t>FI</t>
  </si>
  <si>
    <t>BHARTI HEXACOM L</t>
  </si>
  <si>
    <t>SIRIUS XM HOLDIN</t>
  </si>
  <si>
    <t>MOBILE TELECOMMU</t>
  </si>
  <si>
    <t>KW</t>
  </si>
  <si>
    <t>LUMEN TECHNOLOGI</t>
  </si>
  <si>
    <t>TELEKOM AUSTRIA</t>
  </si>
  <si>
    <t>AT</t>
  </si>
  <si>
    <t>TELEFONICA DEUTS</t>
  </si>
  <si>
    <t>BEZEQ THE ISRAEL</t>
  </si>
  <si>
    <t>IL</t>
  </si>
  <si>
    <t>LIBERTY BR-A</t>
  </si>
  <si>
    <t>MAGYAR TELEKOM</t>
  </si>
  <si>
    <t>HU</t>
  </si>
  <si>
    <t>MAXIS BHD</t>
  </si>
  <si>
    <t>TELEKOM MALAYSIA</t>
  </si>
  <si>
    <t>SCANCOM PLC</t>
  </si>
  <si>
    <t>GH</t>
  </si>
  <si>
    <t>UNITED INTERN-RE</t>
  </si>
  <si>
    <t>PCCW LTD</t>
  </si>
  <si>
    <t>TPG TELECOM LTD</t>
  </si>
  <si>
    <t>TURKCELL</t>
  </si>
  <si>
    <t>TR</t>
  </si>
  <si>
    <t>TELECOM ARGENT-B</t>
  </si>
  <si>
    <t>AR</t>
  </si>
  <si>
    <t>83%</t>
  </si>
  <si>
    <t>TELEPHONE &amp; DATA</t>
  </si>
  <si>
    <t>ORANGE POLSKA SA</t>
  </si>
  <si>
    <t>PL</t>
  </si>
  <si>
    <t>LG UPLUS CORP</t>
  </si>
  <si>
    <t>1&amp;1 AG</t>
  </si>
  <si>
    <t>TURK TELEKOM</t>
  </si>
  <si>
    <t>AXIATA GROUP BER</t>
  </si>
  <si>
    <t>ORIENTAL PEARL-A</t>
  </si>
  <si>
    <t>PLDT INC</t>
  </si>
  <si>
    <t>PH</t>
  </si>
  <si>
    <t>TATA COMMUNICATI</t>
  </si>
  <si>
    <t>SUNRISE COMMUNIC</t>
  </si>
  <si>
    <t>ARRAY DIGITAL IN</t>
  </si>
  <si>
    <t>LIBERTY GLOBAL-A</t>
  </si>
  <si>
    <t>BE</t>
  </si>
  <si>
    <t>INDOSAT TBK PT</t>
  </si>
  <si>
    <t>GLOBE TELECOM</t>
  </si>
  <si>
    <t>FREENET AG</t>
  </si>
  <si>
    <t>VEON LTD</t>
  </si>
  <si>
    <t>PK</t>
  </si>
  <si>
    <t>HRVATSKI TELEKOM</t>
  </si>
  <si>
    <t>HR</t>
  </si>
  <si>
    <t>NOS SGPS</t>
  </si>
  <si>
    <t>PT</t>
  </si>
  <si>
    <t>XLSMART TELECOM</t>
  </si>
  <si>
    <t>FIBOCOM WIRELE-A</t>
  </si>
  <si>
    <t>71%</t>
  </si>
  <si>
    <t>NETLINK NBN TRUS</t>
  </si>
  <si>
    <t>OMAN TELECOMMUNI</t>
  </si>
  <si>
    <t>OM</t>
  </si>
  <si>
    <t>MEGACABLE-CPO</t>
  </si>
  <si>
    <t>VODAFONE QATAR</t>
  </si>
  <si>
    <t>JIANGSU BROADC-A</t>
  </si>
  <si>
    <t>PROXIMUS</t>
  </si>
  <si>
    <t>TIME DOTCOM BHD</t>
  </si>
  <si>
    <t>GRAMEENPHONE LTD</t>
  </si>
  <si>
    <t>BD</t>
  </si>
  <si>
    <t>UNITI GROUP INC</t>
  </si>
  <si>
    <t>CHORUS LTD</t>
  </si>
  <si>
    <t>NZ</t>
  </si>
  <si>
    <t>SPARK NEW ZEALAN</t>
  </si>
  <si>
    <t>WELLCELL HOLDING</t>
  </si>
  <si>
    <t>PARTNER COMM CO</t>
  </si>
  <si>
    <t>TUAS LTD</t>
  </si>
  <si>
    <t>BEYON BSC</t>
  </si>
  <si>
    <t>BH</t>
  </si>
  <si>
    <t>CYFRPLSAT</t>
  </si>
  <si>
    <t>OKINAWA CELLULAR</t>
  </si>
  <si>
    <t>WASU MEDIA HOL-A</t>
  </si>
  <si>
    <t>77%</t>
  </si>
  <si>
    <t>69%</t>
  </si>
  <si>
    <t>CELLCOM ISRAEL</t>
  </si>
  <si>
    <t>DIGI COMMUNICATI</t>
  </si>
  <si>
    <t>RO</t>
  </si>
  <si>
    <t>COGECO COMMUNICA</t>
  </si>
  <si>
    <t>TELKOM SA SOC LT</t>
  </si>
  <si>
    <t>LIBERTY LATI-A</t>
  </si>
  <si>
    <t>PR</t>
  </si>
  <si>
    <t>ORANGE BELGIUM</t>
  </si>
  <si>
    <t>HKBN LTD</t>
  </si>
  <si>
    <t>GRUPO TELEV-CPO</t>
  </si>
  <si>
    <t>CONVERGE INFORMA</t>
  </si>
  <si>
    <t>TELIA LIETUVA AB</t>
  </si>
  <si>
    <t>LT</t>
  </si>
  <si>
    <t>STARHUB LTD</t>
  </si>
  <si>
    <t>CITIC TELECOM</t>
  </si>
  <si>
    <t>ENTEL</t>
  </si>
  <si>
    <t>CL</t>
  </si>
  <si>
    <t>IDT CORP-CLASS B</t>
  </si>
  <si>
    <t>SUPERLOOP LTD</t>
  </si>
  <si>
    <t>SYNSPECTIVE INC</t>
  </si>
  <si>
    <t>AUSSIE BROADBAND</t>
  </si>
  <si>
    <t>84%</t>
  </si>
  <si>
    <t>COGENT COMMUNICA</t>
  </si>
  <si>
    <t>JORDAN TELECOM</t>
  </si>
  <si>
    <t>JO</t>
  </si>
  <si>
    <t>DIALOG AXIATA PL</t>
  </si>
  <si>
    <t>LK</t>
  </si>
  <si>
    <t>TELEKOM SLOVEN</t>
  </si>
  <si>
    <t>SI</t>
  </si>
  <si>
    <t>TATA TELESERVICE</t>
  </si>
  <si>
    <t>ETIHAD GO TELECO</t>
  </si>
  <si>
    <t>HUTCHTEL HK</t>
  </si>
  <si>
    <t>SMARTONE TELECOM</t>
  </si>
  <si>
    <t>OOREDOO</t>
  </si>
  <si>
    <t>67%</t>
  </si>
  <si>
    <t>OPTIMUM COMMUNIC</t>
  </si>
  <si>
    <t>BAHNHOF AB-B SHS</t>
  </si>
  <si>
    <t>GOGO INC</t>
  </si>
  <si>
    <t>TELEFONICA CHILE</t>
  </si>
  <si>
    <t>75%</t>
  </si>
  <si>
    <t>47%</t>
  </si>
  <si>
    <t>CABLE ONE INC</t>
  </si>
  <si>
    <t>BLU LABEL UNLIMI</t>
  </si>
  <si>
    <t>VISION INC/TOKYO</t>
  </si>
  <si>
    <t>M-UP HOLDINGS IN</t>
  </si>
  <si>
    <t>GO PLC</t>
  </si>
  <si>
    <t>MT</t>
  </si>
  <si>
    <t>TAIWAN OPTICAL</t>
  </si>
  <si>
    <t>JASMINE INTL PCL</t>
  </si>
  <si>
    <t>TELE COLUMBUS AG</t>
  </si>
  <si>
    <t>72%</t>
  </si>
  <si>
    <t>SKY NETWORK TEL</t>
  </si>
  <si>
    <t>IPS INC</t>
  </si>
  <si>
    <t>FREEBIT CO LTD</t>
  </si>
  <si>
    <t>MAHANAGAR TELE</t>
  </si>
  <si>
    <t>ASTRO MALAYSIA</t>
  </si>
  <si>
    <t>DISH TV INDIA</t>
  </si>
  <si>
    <t>TESSELLIS SPA</t>
  </si>
  <si>
    <t>RELIANCE COMMUNI</t>
  </si>
  <si>
    <t>Soc Pillr Percntle</t>
  </si>
  <si>
    <t>Soc Scr</t>
  </si>
  <si>
    <t>Soc Pillr Disc</t>
  </si>
  <si>
    <t>Social Pillar Disclosure</t>
  </si>
  <si>
    <t>Lbr And Emplmnt Pract Iss Scr</t>
  </si>
  <si>
    <t>Eth And Cmpl Iss Scr</t>
  </si>
  <si>
    <t>Data Secrty And Cstmr Iss Scr</t>
  </si>
  <si>
    <t>Op Rsk Mgmt Iss Scr</t>
  </si>
  <si>
    <t>Mrktng And Lablng Iss Scr</t>
  </si>
  <si>
    <t>Accs And Affrdabilty Iss Scr</t>
  </si>
  <si>
    <t>Lbr And Emplmnt Pract Iss Disc Fctr</t>
  </si>
  <si>
    <t>Eth And Cmpl Iss Disc Fctr</t>
  </si>
  <si>
    <t>Data Secrty And Cstmr Privcy Iss Disc Fctr</t>
  </si>
  <si>
    <t>Op Rsk Mgmt Iss Disc Fctr</t>
  </si>
  <si>
    <t>Mrktng And Lablng Iss Disc Fctr</t>
  </si>
  <si>
    <t>Labor &amp; Employment Practices Issue Disc Fctr</t>
  </si>
  <si>
    <t>Ethics and Compliance Issue Disclosure Factor</t>
  </si>
  <si>
    <t>Data Security &amp; Cust Privacy Issue Disc Fctr</t>
  </si>
  <si>
    <t>Operational Risk Mgmt Issue Disclosure Factor</t>
  </si>
  <si>
    <t>Marktng and Labeling Issue Disclosure Factor</t>
  </si>
  <si>
    <t>Lbr And Emplmnt Pract Iss Perf Scr</t>
  </si>
  <si>
    <t>Eth And Cmpl Iss Perf Scr</t>
  </si>
  <si>
    <t>Data Secrty And Cstmr Privcy Iss Perf Scr</t>
  </si>
  <si>
    <t>Op Rsk Mgmt Iss Perf Scr</t>
  </si>
  <si>
    <t>Mrktng And Lablng Iss Perf Scr</t>
  </si>
  <si>
    <t>41%</t>
  </si>
  <si>
    <t>28%</t>
  </si>
  <si>
    <t>73%</t>
  </si>
  <si>
    <t>45%</t>
  </si>
  <si>
    <t>46%</t>
  </si>
  <si>
    <t>36%</t>
  </si>
  <si>
    <t>33%</t>
  </si>
  <si>
    <t>13%</t>
  </si>
  <si>
    <t>17%</t>
  </si>
  <si>
    <t>30%</t>
  </si>
  <si>
    <t>38%</t>
  </si>
  <si>
    <t>16%</t>
  </si>
  <si>
    <t>24%</t>
  </si>
  <si>
    <t>25%</t>
  </si>
  <si>
    <t>53%</t>
  </si>
  <si>
    <t>43%</t>
  </si>
  <si>
    <t>34%</t>
  </si>
  <si>
    <t>19%</t>
  </si>
  <si>
    <t>31%</t>
  </si>
  <si>
    <t>62%</t>
  </si>
  <si>
    <t>51%</t>
  </si>
  <si>
    <t>49%</t>
  </si>
  <si>
    <t>35%</t>
  </si>
  <si>
    <t>37%</t>
  </si>
  <si>
    <t>21%</t>
  </si>
  <si>
    <t>32%</t>
  </si>
  <si>
    <t>52%</t>
  </si>
  <si>
    <t>10%</t>
  </si>
  <si>
    <t>66%</t>
  </si>
  <si>
    <t>39%</t>
  </si>
  <si>
    <t>55%</t>
  </si>
  <si>
    <t>42%</t>
  </si>
  <si>
    <t>18%</t>
  </si>
  <si>
    <t>11%</t>
  </si>
  <si>
    <t>23%</t>
  </si>
  <si>
    <t>5%</t>
  </si>
  <si>
    <t>9%</t>
  </si>
  <si>
    <t>54%</t>
  </si>
  <si>
    <t>14%</t>
  </si>
  <si>
    <t>26%</t>
  </si>
  <si>
    <t>12%</t>
  </si>
  <si>
    <t>7%</t>
  </si>
  <si>
    <t>27%</t>
  </si>
  <si>
    <t>2%</t>
  </si>
  <si>
    <t>3%</t>
  </si>
  <si>
    <t>48%</t>
  </si>
  <si>
    <t>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</si>
</sst>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5">
    <xf numFmtId="0" fontId="0" fillId="0" borderId="0" xfId="0"/>
    <xf numFmtId="0" fontId="1" fillId="34" borderId="0" xfId="27"/>
    <xf numFmtId="0" fontId="2" fillId="33" borderId="0" xfId="26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BDP|11984653425046248927</stp>
        <tr r="I118" s="2"/>
      </tp>
      <tp t="s">
        <v>#N/A N/A</v>
        <stp/>
        <stp>BDP|12915641700499190755</stp>
        <tr r="C155" s="2"/>
      </tp>
      <tp t="s">
        <v>#N/A Requesting Data...4193043216</v>
        <stp/>
        <stp>BDP|11317878120440578185</stp>
        <tr r="Q149" s="2"/>
      </tp>
      <tp t="s">
        <v>#N/A Requesting Data...3847855120</v>
        <stp/>
        <stp>BDP|17056136488640228405</stp>
        <tr r="Q93" s="2"/>
      </tp>
      <tp t="s">
        <v>#N/A Requesting Data...2765141175</v>
        <stp/>
        <stp>BDP|15817623357084590808</stp>
        <tr r="J74" s="2"/>
      </tp>
      <tp t="s">
        <v>#N/A Requesting Data...3968260818</v>
        <stp/>
        <stp>BDP|15439901673200816170</stp>
        <tr r="J73" s="2"/>
      </tp>
      <tp t="s">
        <v>#N/A N/A</v>
        <stp/>
        <stp>BDP|13133950605077808712</stp>
        <tr r="D154" s="2"/>
      </tp>
      <tp t="s">
        <v>#N/A N/A</v>
        <stp/>
        <stp>BDP|12939485636488706782</stp>
        <tr r="C97" s="2"/>
      </tp>
      <tp t="s">
        <v>#N/A Requesting Data...3448628198</v>
        <stp/>
        <stp>BDP|17387288297647456107</stp>
        <tr r="O84" s="2"/>
      </tp>
      <tp t="s">
        <v>#N/A Requesting Data...3507387090</v>
        <stp/>
        <stp>BDP|10659396137948614251</stp>
        <tr r="X111" s="2"/>
      </tp>
      <tp t="s">
        <v>#N/A Requesting Data...2633702075</v>
        <stp/>
        <stp>BDP|12099857758087575231</stp>
        <tr r="S83" s="2"/>
      </tp>
      <tp t="s">
        <v>#N/A Requesting Data...3464451874</v>
        <stp/>
        <stp>BDP|13611211257718838639</stp>
        <tr r="T136" s="2"/>
      </tp>
      <tp t="s">
        <v>#N/A N/A</v>
        <stp/>
        <stp>BDP|13214342748767122947</stp>
        <tr r="F4" s="2"/>
      </tp>
      <tp t="s">
        <v>#N/A N/A</v>
        <stp/>
        <stp>BDP|17387028538258705654</stp>
        <tr r="D161" s="2"/>
      </tp>
      <tp t="s">
        <v>#N/A Requesting Data...3666557448</v>
        <stp/>
        <stp>BDP|15713709289432344275</stp>
        <tr r="N33" s="2"/>
      </tp>
      <tp t="s">
        <v>#N/A Requesting Data...2887737470</v>
        <stp/>
        <stp>BDP|10594727928838626734</stp>
        <tr r="T19" s="2"/>
      </tp>
      <tp t="s">
        <v>#N/A Requesting Data...3773801270</v>
        <stp/>
        <stp>BDP|16943431786449055964</stp>
        <tr r="X87" s="2"/>
      </tp>
      <tp t="s">
        <v>#N/A N/A</v>
        <stp/>
        <stp>BDP|10874998005370048397</stp>
        <tr r="I36" s="2"/>
      </tp>
      <tp t="s">
        <v>#N/A N/A</v>
        <stp/>
        <stp>BDP|15668427060365876810</stp>
        <tr r="C59" s="2"/>
      </tp>
      <tp t="s">
        <v>#N/A N/A</v>
        <stp/>
        <stp>BDP|11755093121571496874</stp>
        <tr r="I149" s="2"/>
      </tp>
      <tp t="s">
        <v>#N/A N/A</v>
        <stp/>
        <stp>BDP|18282787046459726874</stp>
        <tr r="B98" s="2"/>
      </tp>
      <tp t="s">
        <v>#N/A N/A</v>
        <stp/>
        <stp>BDP|16099240893700329780</stp>
        <tr r="I12" s="2"/>
      </tp>
      <tp t="s">
        <v>#N/A Requesting Data...3825022483</v>
        <stp/>
        <stp>BDP|15058411869439625421</stp>
        <tr r="Q153" s="2"/>
      </tp>
      <tp t="s">
        <v>#N/A Requesting Data...3518965954</v>
        <stp/>
        <stp>BDP|12208755588771524657</stp>
        <tr r="X109" s="2"/>
      </tp>
      <tp t="s">
        <v>#N/A Requesting Data...2909715603</v>
        <stp/>
        <stp>BDP|13640535833276886903</stp>
        <tr r="Q143" s="2"/>
      </tp>
      <tp t="s">
        <v>#N/A N/A</v>
        <stp/>
        <stp>BDP|16879232154459079218</stp>
        <tr r="C34" s="2"/>
      </tp>
      <tp t="s">
        <v>#N/A Requesting Data...4227421221</v>
        <stp/>
        <stp>BDP|14071362289371683473</stp>
        <tr r="Y32" s="2"/>
      </tp>
      <tp t="s">
        <v>#N/A Requesting Data...3296718730</v>
        <stp/>
        <stp>BDP|10892942234380230048</stp>
        <tr r="O144" s="2"/>
      </tp>
      <tp t="s">
        <v>#N/A N/A</v>
        <stp/>
        <stp>BDP|12945725989260429783</stp>
        <tr r="F41" s="2"/>
      </tp>
      <tp t="s">
        <v>#N/A N/A</v>
        <stp/>
        <stp>BDP|12302122648395733807</stp>
        <tr r="I146" s="2"/>
      </tp>
      <tp t="s">
        <v>#N/A Requesting Data...3256653640</v>
        <stp/>
        <stp>BDP|16328904599618309474</stp>
        <tr r="T135" s="2"/>
      </tp>
      <tp t="s">
        <v>#N/A N/A</v>
        <stp/>
        <stp>BDP|14283307384184558121</stp>
        <tr r="C100" s="2"/>
      </tp>
      <tp t="s">
        <v>#N/A Requesting Data...2597342652</v>
        <stp/>
        <stp>BDP|14260139200657782871</stp>
        <tr r="K51" s="2"/>
      </tp>
      <tp t="s">
        <v>#N/A Requesting Data...3719192160</v>
        <stp/>
        <stp>BDP|16540853477245571632</stp>
        <tr r="G157" s="2"/>
      </tp>
      <tp t="s">
        <v>#N/A Requesting Data...2777343001</v>
        <stp/>
        <stp>BDP|10374782368529479260</stp>
        <tr r="T8" s="2"/>
      </tp>
      <tp t="s">
        <v>#N/A N/A</v>
        <stp/>
        <stp>BDP|10042652275502443950</stp>
        <tr r="C79" s="2"/>
      </tp>
      <tp t="s">
        <v>#N/A Requesting Data...3252574878</v>
        <stp/>
        <stp>BDP|10646410462871277970</stp>
        <tr r="S47" s="2"/>
      </tp>
      <tp t="s">
        <v>#N/A Requesting Data...2897438936</v>
        <stp/>
        <stp>BDP|11196246666046303903</stp>
        <tr r="S9" s="2"/>
      </tp>
      <tp t="s">
        <v>#N/A Requesting Data...4107403454</v>
        <stp/>
        <stp>BDP|17317711869258278493</stp>
        <tr r="S39" s="2"/>
      </tp>
      <tp t="s">
        <v>#N/A Requesting Data...3546009847</v>
        <stp/>
        <stp>BDP|15289055691394123278</stp>
        <tr r="P117" s="2"/>
      </tp>
      <tp t="s">
        <v>#N/A Requesting Data...4130815151</v>
        <stp/>
        <stp>BDP|12905038887806886662</stp>
        <tr r="X18" s="2"/>
      </tp>
      <tp t="s">
        <v>#N/A N/A</v>
        <stp/>
        <stp>BDP|14798074300538513667</stp>
        <tr r="B71" s="2"/>
      </tp>
      <tp t="s">
        <v>#N/A Requesting Data...3472120479</v>
        <stp/>
        <stp>BDP|12210472475219774245</stp>
        <tr r="N48" s="2"/>
      </tp>
      <tp t="s">
        <v>#N/A Requesting Data...3237706199</v>
        <stp/>
        <stp>BDP|14276778059844986868</stp>
        <tr r="P91" s="2"/>
      </tp>
      <tp t="s">
        <v>#N/A Requesting Data...2861845558</v>
        <stp/>
        <stp>BDP|11711683859751631930</stp>
        <tr r="J34" s="2"/>
      </tp>
      <tp t="s">
        <v>#N/A N/A</v>
        <stp/>
        <stp>BDP|13447462441270320929</stp>
        <tr r="C93" s="2"/>
      </tp>
      <tp t="s">
        <v>#N/A Requesting Data...4283823338</v>
        <stp/>
        <stp>BDP|15080033886666290154</stp>
        <tr r="N148" s="2"/>
      </tp>
      <tp t="s">
        <v>#N/A Requesting Data...3208290653</v>
        <stp/>
        <stp>BDP|12250356567845329861</stp>
        <tr r="Y22" s="2"/>
      </tp>
      <tp t="s">
        <v>#N/A N/A</v>
        <stp/>
        <stp>BDP|17180174992434265130</stp>
        <tr r="I8" s="2"/>
      </tp>
      <tp t="s">
        <v>#N/A Requesting Data...3975403744</v>
        <stp/>
        <stp>BDP|11046543081497095107</stp>
        <tr r="Q57" s="2"/>
      </tp>
      <tp t="s">
        <v>#N/A Requesting Data...3651075372</v>
        <stp/>
        <stp>BDP|14545167789577836078</stp>
        <tr r="Q138" s="2"/>
      </tp>
      <tp t="s">
        <v>#N/A Requesting Data...2597113610</v>
        <stp/>
        <stp>BDP|16603058997702193725</stp>
        <tr r="O116" s="2"/>
      </tp>
      <tp t="s">
        <v>#N/A Requesting Data...2997263781</v>
        <stp/>
        <stp>BDP|11644054890597013547</stp>
        <tr r="N9" s="2"/>
      </tp>
      <tp t="s">
        <v>#N/A Requesting Data...3879480456</v>
        <stp/>
        <stp>BDP|15864878169769817898</stp>
        <tr r="T130" s="2"/>
      </tp>
      <tp t="s">
        <v>#N/A N/A</v>
        <stp/>
        <stp>BDP|11007966008431843311</stp>
        <tr r="F137" s="2"/>
      </tp>
      <tp t="s">
        <v>#N/A Requesting Data...2703135925</v>
        <stp/>
        <stp>BDP|14268331198133688797</stp>
        <tr r="G96" s="2"/>
      </tp>
      <tp t="s">
        <v>#N/A Requesting Data...3777950236</v>
        <stp/>
        <stp>BDP|11492177376135189828</stp>
        <tr r="J68" s="2"/>
      </tp>
      <tp t="s">
        <v>#N/A Requesting Data...2719109468</v>
        <stp/>
        <stp>BDP|14512800872707862693</stp>
        <tr r="O41" s="2"/>
      </tp>
      <tp t="s">
        <v>#N/A Requesting Data...3119910938</v>
        <stp/>
        <stp>BDP|17341623896387554542</stp>
        <tr r="T77" s="2"/>
      </tp>
      <tp t="s">
        <v>#N/A N/A</v>
        <stp/>
        <stp>BDP|18258186138839573919</stp>
        <tr r="C25" s="2"/>
      </tp>
      <tp t="s">
        <v>#N/A N/A</v>
        <stp/>
        <stp>BDP|14223834516376006110</stp>
        <tr r="F142" s="2"/>
      </tp>
      <tp t="s">
        <v>#N/A N/A</v>
        <stp/>
        <stp>BDP|11042867910865770778</stp>
        <tr r="B29" s="2"/>
      </tp>
      <tp t="s">
        <v>#N/A Requesting Data...3809265531</v>
        <stp/>
        <stp>BDP|13194815183850264889</stp>
        <tr r="Q20" s="2"/>
      </tp>
      <tp t="s">
        <v>#N/A Requesting Data...4144918996</v>
        <stp/>
        <stp>BDP|13423588393055117171</stp>
        <tr r="Y133" s="2"/>
      </tp>
      <tp t="s">
        <v>#N/A Requesting Data...3870999025</v>
        <stp/>
        <stp>BDP|12058799566951685905</stp>
        <tr r="N58" s="2"/>
      </tp>
      <tp t="s">
        <v>#N/A Requesting Data...4171075763</v>
        <stp/>
        <stp>BDP|15374022187866945064</stp>
        <tr r="Q94" s="2"/>
      </tp>
      <tp t="s">
        <v>#N/A Requesting Data...4219937405</v>
        <stp/>
        <stp>BDP|17698053842648997015</stp>
        <tr r="P70" s="2"/>
      </tp>
      <tp t="s">
        <v>#N/A Requesting Data...4241870090</v>
        <stp/>
        <stp>BDP|12220189982123192305</stp>
        <tr r="J135" s="2"/>
      </tp>
      <tp t="s">
        <v>#N/A Requesting Data...3330130907</v>
        <stp/>
        <stp>BDP|15331881261299254909</stp>
        <tr r="O108" s="2"/>
      </tp>
      <tp t="s">
        <v>#N/A N/A</v>
        <stp/>
        <stp>BDP|11987003496972584111</stp>
        <tr r="F139" s="2"/>
      </tp>
      <tp t="s">
        <v>#N/A Requesting Data...3749368119</v>
        <stp/>
        <stp>BDP|10452934612690789380</stp>
        <tr r="X124" s="2"/>
      </tp>
      <tp t="s">
        <v>#N/A N/A</v>
        <stp/>
        <stp>BDP|13834624085352455410</stp>
        <tr r="F62" s="2"/>
      </tp>
      <tp t="s">
        <v>#N/A N/A</v>
        <stp/>
        <stp>BDP|17198598201030217910</stp>
        <tr r="C157" s="2"/>
      </tp>
      <tp t="s">
        <v>#N/A Requesting Data...2910627863</v>
        <stp/>
        <stp>BDP|18332724997044936954</stp>
        <tr r="G159" s="2"/>
      </tp>
      <tp t="s">
        <v>#N/A N/A</v>
        <stp/>
        <stp>BDP|15538263490431135482</stp>
        <tr r="F76" s="2"/>
      </tp>
      <tp t="s">
        <v>#N/A Requesting Data...3892921664</v>
        <stp/>
        <stp>BDP|13020030518269304025</stp>
        <tr r="S156" s="2"/>
      </tp>
      <tp t="s">
        <v>#N/A N/A</v>
        <stp/>
        <stp>BDP|10888849367133374651</stp>
        <tr r="C136" s="2"/>
      </tp>
      <tp t="s">
        <v>#N/A N/A</v>
        <stp/>
        <stp>BDP|14042464586065856651</stp>
        <tr r="C64" s="2"/>
      </tp>
      <tp t="s">
        <v>#N/A Requesting Data...3482734414</v>
        <stp/>
        <stp>BDP|10906553904288624637</stp>
        <tr r="T140" s="2"/>
      </tp>
      <tp t="s">
        <v>#N/A Requesting Data...2953411836</v>
        <stp/>
        <stp>BDP|10353512523878415497</stp>
        <tr r="K22" s="2"/>
      </tp>
      <tp t="s">
        <v>#N/A N/A</v>
        <stp/>
        <stp>BDP|15241963009882711560</stp>
        <tr r="D89" s="2"/>
      </tp>
      <tp t="s">
        <v>#N/A N/A</v>
        <stp/>
        <stp>BDP|10500960555247993037</stp>
        <tr r="C38" s="2"/>
      </tp>
      <tp t="s">
        <v>#N/A N/A</v>
        <stp/>
        <stp>BDP|17273557390093800336</stp>
        <tr r="D132" s="2"/>
      </tp>
      <tp t="s">
        <v>#N/A Requesting Data...4133123102</v>
        <stp/>
        <stp>BDP|12289692277900915896</stp>
        <tr r="X76" s="2"/>
      </tp>
      <tp t="s">
        <v>#N/A Requesting Data...3198738671</v>
        <stp/>
        <stp>BDP|14275508658416335967</stp>
        <tr r="T92" s="2"/>
      </tp>
      <tp t="s">
        <v>#N/A Requesting Data...3880936774</v>
        <stp/>
        <stp>BDP|15959956559254917630</stp>
        <tr r="K139" s="2"/>
      </tp>
      <tp t="s">
        <v>#N/A Requesting Data...3991507044</v>
        <stp/>
        <stp>BDP|14827036437064501863</stp>
        <tr r="K74" s="2"/>
      </tp>
      <tp t="s">
        <v>#N/A Requesting Data...3909927414</v>
        <stp/>
        <stp>BDP|13582085351129620440</stp>
        <tr r="X137" s="2"/>
      </tp>
      <tp t="s">
        <v>#N/A Requesting Data...3064564827</v>
        <stp/>
        <stp>BDP|13013497892913558604</stp>
        <tr r="T160" s="2"/>
      </tp>
      <tp t="s">
        <v>#N/A Requesting Data...4164196319</v>
        <stp/>
        <stp>BDP|16889257563570356933</stp>
        <tr r="Y52" s="2"/>
      </tp>
      <tp t="s">
        <v>#N/A N/A</v>
        <stp/>
        <stp>BDP|13206441546779619184</stp>
        <tr r="B133" s="2"/>
      </tp>
      <tp t="s">
        <v>#N/A Requesting Data...2671445823</v>
        <stp/>
        <stp>BDP|12735984451802884785</stp>
        <tr r="Q45" s="2"/>
      </tp>
      <tp t="s">
        <v>#N/A N/A</v>
        <stp/>
        <stp>BDP|10248865517502472093</stp>
        <tr r="B149" s="2"/>
      </tp>
      <tp t="s">
        <v>#N/A Requesting Data...2785050755</v>
        <stp/>
        <stp>BDP|17886461386129196971</stp>
        <tr r="N159" s="2"/>
      </tp>
      <tp t="s">
        <v>#N/A Requesting Data...2967993741</v>
        <stp/>
        <stp>BDP|16595243381165636271</stp>
        <tr r="S77" s="2"/>
      </tp>
      <tp t="s">
        <v>#N/A Requesting Data...2910021837</v>
        <stp/>
        <stp>BDP|10082248575056983890</stp>
        <tr r="T31" s="2"/>
      </tp>
      <tp t="s">
        <v>#N/A Requesting Data...2997316629</v>
        <stp/>
        <stp>BDP|16363839134114754225</stp>
        <tr r="S15" s="2"/>
      </tp>
      <tp t="s">
        <v>#N/A Requesting Data...3300522192</v>
        <stp/>
        <stp>BDP|10332058143037732836</stp>
        <tr r="Y28" s="2"/>
      </tp>
      <tp t="s">
        <v>#N/A N/A</v>
        <stp/>
        <stp>BDP|14345747450744540931</stp>
        <tr r="D114" s="2"/>
      </tp>
      <tp t="s">
        <v>#N/A N/A</v>
        <stp/>
        <stp>BDP|11483916163847635214</stp>
        <tr r="B69" s="2"/>
      </tp>
      <tp t="s">
        <v>#N/A Requesting Data...3552311757</v>
        <stp/>
        <stp>BDP|18304351925030368217</stp>
        <tr r="P47" s="2"/>
      </tp>
      <tp t="s">
        <v>#N/A Requesting Data...2726180009</v>
        <stp/>
        <stp>BDP|15796636503579296145</stp>
        <tr r="Q158" s="2"/>
      </tp>
      <tp t="s">
        <v>#N/A Requesting Data...3575283397</v>
        <stp/>
        <stp>BDP|17774164873219405374</stp>
        <tr r="S49" s="2"/>
      </tp>
      <tp t="s">
        <v>#N/A Requesting Data...3687217941</v>
        <stp/>
        <stp>BDP|14047008359803026983</stp>
        <tr r="N88" s="2"/>
      </tp>
      <tp t="s">
        <v>#N/A Requesting Data...2908471580</v>
        <stp/>
        <stp>BDP|17787245882123278531</stp>
        <tr r="Y158" s="2"/>
      </tp>
      <tp t="s">
        <v>#N/A Requesting Data...3611296921</v>
        <stp/>
        <stp>BDP|16411472784052526328</stp>
        <tr r="S82" s="2"/>
      </tp>
      <tp t="s">
        <v>#N/A Requesting Data...3612221857</v>
        <stp/>
        <stp>BDP|13624901062302250564</stp>
        <tr r="G113" s="2"/>
      </tp>
      <tp t="s">
        <v>#N/A Requesting Data...2975012025</v>
        <stp/>
        <stp>BDP|12826491877622412822</stp>
        <tr r="P12" s="2"/>
      </tp>
      <tp t="s">
        <v>#N/A N/A</v>
        <stp/>
        <stp>BDP|18231206902144182525</stp>
        <tr r="B6" s="2"/>
      </tp>
      <tp t="s">
        <v>#N/A Requesting Data...3345178596</v>
        <stp/>
        <stp>BDP|10348160416943522840</stp>
        <tr r="G18" s="2"/>
      </tp>
      <tp t="s">
        <v>#N/A N/A</v>
        <stp/>
        <stp>BDP|15151849182467799923</stp>
        <tr r="C76" s="2"/>
      </tp>
      <tp t="s">
        <v>#N/A Requesting Data...3688219542</v>
        <stp/>
        <stp>BDP|11463785818775264940</stp>
        <tr r="T82" s="2"/>
      </tp>
      <tp t="s">
        <v>#N/A Requesting Data...3806789716</v>
        <stp/>
        <stp>BDP|14893935532334852145</stp>
        <tr r="P157" s="2"/>
      </tp>
      <tp t="s">
        <v>#N/A Requesting Data...3904520721</v>
        <stp/>
        <stp>BDP|13273466689971111596</stp>
        <tr r="P66" s="2"/>
      </tp>
      <tp t="s">
        <v>#N/A N/A</v>
        <stp/>
        <stp>BDP|10605018926781375874</stp>
        <tr r="I145" s="2"/>
      </tp>
      <tp t="s">
        <v>#N/A Requesting Data...3301429382</v>
        <stp/>
        <stp>BDP|12157808061717098050</stp>
        <tr r="K71" s="2"/>
      </tp>
      <tp t="s">
        <v>#N/A Requesting Data...3040542408</v>
        <stp/>
        <stp>BDP|16216686090706658497</stp>
        <tr r="O37" s="2"/>
      </tp>
      <tp t="s">
        <v>#N/A Requesting Data...4006655515</v>
        <stp/>
        <stp>BDP|15641869295998332736</stp>
        <tr r="X94" s="2"/>
      </tp>
      <tp t="s">
        <v>#N/A N/A</v>
        <stp/>
        <stp>BDP|10949812251252801444</stp>
        <tr r="F116" s="2"/>
      </tp>
      <tp t="s">
        <v>#N/A Requesting Data...2709577194</v>
        <stp/>
        <stp>BDP|11915680637969699657</stp>
        <tr r="K67" s="2"/>
      </tp>
      <tp t="s">
        <v>#N/A Requesting Data...3759179569</v>
        <stp/>
        <stp>BDP|12327492456139858112</stp>
        <tr r="S140" s="2"/>
      </tp>
      <tp t="s">
        <v>#N/A Requesting Data...2898995031</v>
        <stp/>
        <stp>BDP|13272348493911466346</stp>
        <tr r="N28" s="2"/>
      </tp>
      <tp t="s">
        <v>#N/A Requesting Data...3107346610</v>
        <stp/>
        <stp>BDP|10252848313103422152</stp>
        <tr r="Q102" s="2"/>
      </tp>
      <tp t="s">
        <v>#N/A N/A</v>
        <stp/>
        <stp>BDP|15787454883045219771</stp>
        <tr r="B45" s="2"/>
      </tp>
      <tp t="s">
        <v>#N/A N/A</v>
        <stp/>
        <stp>BDP|16884594291942751330</stp>
        <tr r="D54" s="2"/>
      </tp>
      <tp t="s">
        <v>#N/A Requesting Data...4248980059</v>
        <stp/>
        <stp>BDP|18111726725184060226</stp>
        <tr r="K145" s="2"/>
      </tp>
      <tp t="s">
        <v>#N/A Requesting Data...3797109673</v>
        <stp/>
        <stp>BDP|12180774283011934789</stp>
        <tr r="N111" s="2"/>
      </tp>
      <tp t="s">
        <v>#N/A Requesting Data...3574443243</v>
        <stp/>
        <stp>BDP|18275255651747171337</stp>
        <tr r="S120" s="2"/>
      </tp>
      <tp t="s">
        <v>#N/A Requesting Data...4096889574</v>
        <stp/>
        <stp>BDP|18003822945367865888</stp>
        <tr r="O159" s="2"/>
      </tp>
      <tp t="s">
        <v>#N/A Requesting Data...2776491613</v>
        <stp/>
        <stp>BDP|17573373819838822643</stp>
        <tr r="X32" s="2"/>
      </tp>
      <tp t="s">
        <v>#N/A N/A</v>
        <stp/>
        <stp>BDP|15236932501070183765</stp>
        <tr r="C12" s="2"/>
      </tp>
      <tp t="s">
        <v>#N/A N/A</v>
        <stp/>
        <stp>BDP|11151652401019059521</stp>
        <tr r="C7" s="2"/>
      </tp>
      <tp t="s">
        <v>#N/A N/A</v>
        <stp/>
        <stp>BDP|14363336422557067950</stp>
        <tr r="F128" s="2"/>
      </tp>
      <tp t="s">
        <v>#N/A Requesting Data...3196109402</v>
        <stp/>
        <stp>BDP|17578972986695519861</stp>
        <tr r="N112" s="2"/>
      </tp>
      <tp t="s">
        <v>#N/A N/A</v>
        <stp/>
        <stp>BDP|14492159411006177961</stp>
        <tr r="D51" s="2"/>
      </tp>
      <tp t="s">
        <v>#N/A Requesting Data...2876361556</v>
        <stp/>
        <stp>BDP|12141633584821840687</stp>
        <tr r="G112" s="2"/>
      </tp>
      <tp t="s">
        <v>#N/A N/A</v>
        <stp/>
        <stp>BDP|14222968423153326728</stp>
        <tr r="D48" s="2"/>
      </tp>
      <tp t="s">
        <v>#N/A N/A</v>
        <stp/>
        <stp>BDP|16709091850470826801</stp>
        <tr r="B22" s="2"/>
      </tp>
      <tp t="s">
        <v>#N/A Requesting Data...2795448323</v>
        <stp/>
        <stp>BDP|17089960339763730616</stp>
        <tr r="N14" s="2"/>
      </tp>
      <tp t="s">
        <v>#N/A N/A</v>
        <stp/>
        <stp>BDP|10200981245026582330</stp>
        <tr r="C72" s="2"/>
      </tp>
      <tp t="s">
        <v>#N/A Requesting Data...2705830272</v>
        <stp/>
        <stp>BDP|14701383335058299412</stp>
        <tr r="X34" s="2"/>
      </tp>
      <tp t="s">
        <v>#N/A N/A</v>
        <stp/>
        <stp>BDP|11914126476709505613</stp>
        <tr r="D46" s="2"/>
      </tp>
      <tp t="s">
        <v>#N/A Requesting Data...3110041361</v>
        <stp/>
        <stp>BDP|11881461515415341901</stp>
        <tr r="K53" s="2"/>
      </tp>
      <tp t="s">
        <v>#N/A Requesting Data...4147319155</v>
        <stp/>
        <stp>BDP|18109944999643684324</stp>
        <tr r="T128" s="2"/>
      </tp>
      <tp t="s">
        <v>#N/A Requesting Data...4054402206</v>
        <stp/>
        <stp>BDP|13173203327523755898</stp>
        <tr r="P78" s="2"/>
      </tp>
      <tp t="s">
        <v>#N/A Requesting Data...3565893103</v>
        <stp/>
        <stp>BDP|13110267304540849935</stp>
        <tr r="T89" s="2"/>
      </tp>
      <tp t="s">
        <v>#N/A Requesting Data...2844519596</v>
        <stp/>
        <stp>BDP|12184673488613748719</stp>
        <tr r="X16" s="2"/>
      </tp>
      <tp t="s">
        <v>#N/A N/A</v>
        <stp/>
        <stp>BDP|16248152589092523534</stp>
        <tr r="I104" s="2"/>
      </tp>
      <tp t="s">
        <v>#N/A Requesting Data...3729963813</v>
        <stp/>
        <stp>BDP|11646166695198696984</stp>
        <tr r="X117" s="2"/>
      </tp>
      <tp t="s">
        <v>#N/A Requesting Data...4250338129</v>
        <stp/>
        <stp>BDP|16492366809739143411</stp>
        <tr r="K93" s="2"/>
      </tp>
      <tp t="s">
        <v>#N/A N/A</v>
        <stp/>
        <stp>BDP|13176362790532502391</stp>
        <tr r="D127" s="2"/>
      </tp>
      <tp t="s">
        <v>#N/A Requesting Data...2712744565</v>
        <stp/>
        <stp>BDP|16130634314049931040</stp>
        <tr r="N68" s="2"/>
      </tp>
      <tp t="s">
        <v>#N/A Requesting Data...3034340580</v>
        <stp/>
        <stp>BDP|15294887761657768417</stp>
        <tr r="X22" s="2"/>
      </tp>
      <tp t="s">
        <v>#N/A N/A</v>
        <stp/>
        <stp>BDP|14951061390437379219</stp>
        <tr r="I32" s="2"/>
      </tp>
      <tp t="s">
        <v>#N/A N/A</v>
        <stp/>
        <stp>BDP|13088078820689847021</stp>
        <tr r="F147" s="2"/>
      </tp>
      <tp t="s">
        <v>#N/A Requesting Data...3221346972</v>
        <stp/>
        <stp>BDP|16017186825784708971</stp>
        <tr r="S67" s="2"/>
      </tp>
      <tp t="s">
        <v>#N/A Requesting Data...3326832611</v>
        <stp/>
        <stp>BDP|13887815662870149577</stp>
        <tr r="O104" s="2"/>
      </tp>
      <tp t="s">
        <v>#N/A Requesting Data...3921341138</v>
        <stp/>
        <stp>BDP|11889335466024425857</stp>
        <tr r="G125" s="2"/>
      </tp>
      <tp t="s">
        <v>#N/A Requesting Data...3153989937</v>
        <stp/>
        <stp>BDP|11703684800978788746</stp>
        <tr r="N54" s="2"/>
      </tp>
      <tp t="s">
        <v>#N/A Requesting Data...3548472968</v>
        <stp/>
        <stp>BDP|18183202050986920144</stp>
        <tr r="P67" s="2"/>
      </tp>
      <tp t="s">
        <v>#N/A Requesting Data...4112973241</v>
        <stp/>
        <stp>BDP|14368746828119299022</stp>
        <tr r="G86" s="2"/>
      </tp>
      <tp t="s">
        <v>#N/A Requesting Data...3783305502</v>
        <stp/>
        <stp>BDP|11926959267784067243</stp>
        <tr r="P162" s="2"/>
      </tp>
      <tp t="s">
        <v>#N/A Requesting Data...4183087126</v>
        <stp/>
        <stp>BDP|11142608784693971433</stp>
        <tr r="O8" s="2"/>
      </tp>
      <tp t="s">
        <v>#N/A Requesting Data...3174979175</v>
        <stp/>
        <stp>BDP|15708275751889888368</stp>
        <tr r="K30" s="2"/>
      </tp>
      <tp t="s">
        <v>#N/A Requesting Data...2941771768</v>
        <stp/>
        <stp>BDP|13587930788832099801</stp>
        <tr r="P64" s="2"/>
      </tp>
      <tp t="s">
        <v>#N/A Requesting Data...3641416209</v>
        <stp/>
        <stp>BDP|12049359979528316611</stp>
        <tr r="J43" s="2"/>
      </tp>
      <tp t="s">
        <v>#N/A Requesting Data...4083402048</v>
        <stp/>
        <stp>BDP|13832178582176278413</stp>
        <tr r="J157" s="2"/>
      </tp>
      <tp t="s">
        <v>#N/A Requesting Data...3965214726</v>
        <stp/>
        <stp>BDP|16422698616929292074</stp>
        <tr r="S88" s="2"/>
      </tp>
      <tp t="s">
        <v>#N/A N/A</v>
        <stp/>
        <stp>BDP|16957740749339982430</stp>
        <tr r="C116" s="2"/>
      </tp>
      <tp t="s">
        <v>#N/A Requesting Data...4110233558</v>
        <stp/>
        <stp>BDP|16277506189010275374</stp>
        <tr r="J47" s="2"/>
      </tp>
      <tp t="s">
        <v>#N/A N/A</v>
        <stp/>
        <stp>BDP|16465388363272143909</stp>
        <tr r="C8" s="2"/>
      </tp>
      <tp t="s">
        <v>#N/A Requesting Data...3915585393</v>
        <stp/>
        <stp>BDP|11191339277015902826</stp>
        <tr r="T148" s="2"/>
      </tp>
      <tp t="s">
        <v>#N/A Requesting Data...3732235643</v>
        <stp/>
        <stp>BDP|17629268838899988705</stp>
        <tr r="N107" s="2"/>
      </tp>
      <tp t="s">
        <v>#N/A Requesting Data...3330003383</v>
        <stp/>
        <stp>BDP|15890829081119991421</stp>
        <tr r="P48" s="2"/>
      </tp>
      <tp t="s">
        <v>#N/A Requesting Data...4240957120</v>
        <stp/>
        <stp>BDP|18093653004835721361</stp>
        <tr r="N119" s="2"/>
      </tp>
      <tp t="s">
        <v>#N/A Requesting Data...3553543145</v>
        <stp/>
        <stp>BDP|12732485580451969764</stp>
        <tr r="K38" s="2"/>
      </tp>
      <tp t="s">
        <v>#N/A N/A</v>
        <stp/>
        <stp>BDP|14390395145303916854</stp>
        <tr r="D135" s="2"/>
      </tp>
      <tp t="s">
        <v>#N/A Requesting Data...3567302480</v>
        <stp/>
        <stp>BDP|15532311243322775837</stp>
        <tr r="G7" s="2"/>
      </tp>
      <tp t="s">
        <v>#N/A N/A</v>
        <stp/>
        <stp>BDP|10609200231749179050</stp>
        <tr r="F35" s="2"/>
      </tp>
      <tp t="s">
        <v>#N/A N/A</v>
        <stp/>
        <stp>BDP|14420017246021363933</stp>
        <tr r="F14" s="2"/>
      </tp>
      <tp t="s">
        <v>#N/A Requesting Data...3401120159</v>
        <stp/>
        <stp>BDP|15269441145209684476</stp>
        <tr r="J123" s="2"/>
      </tp>
      <tp t="s">
        <v>#N/A Requesting Data...4274442675</v>
        <stp/>
        <stp>BDP|17119759424579013326</stp>
        <tr r="S119" s="2"/>
      </tp>
      <tp t="s">
        <v>#N/A Requesting Data...2995553171</v>
        <stp/>
        <stp>BDP|13045761897536693350</stp>
        <tr r="Y66" s="2"/>
      </tp>
      <tp t="s">
        <v>#N/A Requesting Data...3628776772</v>
        <stp/>
        <stp>BDP|11704437796834858084</stp>
        <tr r="X63" s="2"/>
      </tp>
      <tp t="s">
        <v>#N/A Requesting Data...4071809633</v>
        <stp/>
        <stp>BDP|12502205391495140477</stp>
        <tr r="J8" s="2"/>
      </tp>
      <tp t="s">
        <v>#N/A N/A</v>
        <stp/>
        <stp>BDP|15585970920444133267</stp>
        <tr r="I77" s="2"/>
      </tp>
      <tp t="s">
        <v>#N/A N/A</v>
        <stp/>
        <stp>BDP|17292935699666925947</stp>
        <tr r="B63" s="2"/>
      </tp>
      <tp t="s">
        <v>#N/A Requesting Data...2910020046</v>
        <stp/>
        <stp>BDP|13140046873895255912</stp>
        <tr r="Y144" s="2"/>
      </tp>
      <tp t="s">
        <v>#N/A Requesting Data...3835532014</v>
        <stp/>
        <stp>BDP|14808210567531254997</stp>
        <tr r="Y159" s="2"/>
      </tp>
      <tp t="s">
        <v>#N/A Requesting Data...2888104313</v>
        <stp/>
        <stp>BDP|17957477147157948852</stp>
        <tr r="P15" s="2"/>
      </tp>
      <tp t="s">
        <v>#N/A Requesting Data...2975505170</v>
        <stp/>
        <stp>BDP|11947041867389950666</stp>
        <tr r="K101" s="2"/>
      </tp>
      <tp t="s">
        <v>#N/A N/A</v>
        <stp/>
        <stp>BDP|17834195984796208039</stp>
        <tr r="D80" s="2"/>
      </tp>
      <tp t="s">
        <v>#N/A Requesting Data...3479410003</v>
        <stp/>
        <stp>BDP|14559047154898706169</stp>
        <tr r="J51" s="2"/>
      </tp>
      <tp t="s">
        <v>#N/A Requesting Data...2776369230</v>
        <stp/>
        <stp>BDP|17894740496935486490</stp>
        <tr r="O136" s="2"/>
      </tp>
      <tp t="s">
        <v>#N/A N/A</v>
        <stp/>
        <stp>BDP|11824909638724674714</stp>
        <tr r="F106" s="2"/>
      </tp>
      <tp t="s">
        <v>#N/A Requesting Data...3489781015</v>
        <stp/>
        <stp>BDP|12015460990052369524</stp>
        <tr r="J136" s="2"/>
      </tp>
      <tp t="s">
        <v>#N/A Requesting Data...3258711111</v>
        <stp/>
        <stp>BDP|15690999774277511493</stp>
        <tr r="S18" s="2"/>
      </tp>
      <tp t="s">
        <v>#N/A Requesting Data...2855401267</v>
        <stp/>
        <stp>BDP|12738054874864937997</stp>
        <tr r="T124" s="2"/>
      </tp>
      <tp t="s">
        <v>#N/A Requesting Data...4084120538</v>
        <stp/>
        <stp>BDP|15192855187525471817</stp>
        <tr r="O25" s="2"/>
      </tp>
      <tp t="s">
        <v>#N/A Requesting Data...4076255240</v>
        <stp/>
        <stp>BDP|13032078564479541405</stp>
        <tr r="S155" s="2"/>
      </tp>
      <tp t="s">
        <v>#N/A Requesting Data...4193615086</v>
        <stp/>
        <stp>BDP|15783853661333458010</stp>
        <tr r="P10" s="2"/>
      </tp>
      <tp t="s">
        <v>#N/A Requesting Data...3888994344</v>
        <stp/>
        <stp>BDP|11336668312188327624</stp>
        <tr r="K25" s="2"/>
      </tp>
      <tp t="s">
        <v>#N/A N/A</v>
        <stp/>
        <stp>BDP|12351426891296424122</stp>
        <tr r="F83" s="2"/>
      </tp>
      <tp t="s">
        <v>#N/A N/A</v>
        <stp/>
        <stp>BDP|16483167523679203458</stp>
        <tr r="D144" s="2"/>
      </tp>
      <tp t="s">
        <v>#N/A Requesting Data...4139839861</v>
        <stp/>
        <stp>BDP|14625799068995578843</stp>
        <tr r="X157" s="2"/>
      </tp>
      <tp t="s">
        <v>#N/A Requesting Data...3280182052</v>
        <stp/>
        <stp>BDP|12252238482379373891</stp>
        <tr r="O65" s="2"/>
      </tp>
      <tp t="s">
        <v>#N/A N/A</v>
        <stp/>
        <stp>BDP|11128500359791814990</stp>
        <tr r="F80" s="2"/>
      </tp>
      <tp t="s">
        <v>#N/A Requesting Data...2890961626</v>
        <stp/>
        <stp>BDP|10770622034624973810</stp>
        <tr r="P69" s="2"/>
      </tp>
      <tp t="s">
        <v>#N/A Requesting Data...4151406787</v>
        <stp/>
        <stp>BDP|14898364342943122954</stp>
        <tr r="O57" s="2"/>
      </tp>
      <tp t="s">
        <v>#N/A Requesting Data...3544089202</v>
        <stp/>
        <stp>BDP|12549707360319400391</stp>
        <tr r="S116" s="2"/>
      </tp>
      <tp t="s">
        <v>#N/A Requesting Data...2805069068</v>
        <stp/>
        <stp>BDP|10398380797695061671</stp>
        <tr r="O11" s="2"/>
      </tp>
      <tp t="s">
        <v>#N/A Requesting Data...3694672447</v>
        <stp/>
        <stp>BDP|13212923932271966105</stp>
        <tr r="Q154" s="2"/>
      </tp>
      <tp t="s">
        <v>#N/A N/A</v>
        <stp/>
        <stp>BDP|11867997903129886802</stp>
        <tr r="F111" s="2"/>
      </tp>
      <tp t="s">
        <v>#N/A Requesting Data...3700764323</v>
        <stp/>
        <stp>BDP|18429438922460910762</stp>
        <tr r="Y54" s="2"/>
      </tp>
      <tp t="s">
        <v>#N/A Requesting Data...2869130920</v>
        <stp/>
        <stp>BDP|15271753789670134351</stp>
        <tr r="J62" s="2"/>
      </tp>
      <tp t="s">
        <v>#N/A N/A</v>
        <stp/>
        <stp>BDP|17334866468503441331</stp>
        <tr r="F31" s="2"/>
      </tp>
      <tp t="s">
        <v>#N/A Requesting Data...3569216822</v>
        <stp/>
        <stp>BDP|14008897941731288073</stp>
        <tr r="O121" s="2"/>
      </tp>
      <tp t="s">
        <v>#N/A N/A</v>
        <stp/>
        <stp>BDP|17885676581475630550</stp>
        <tr r="I156" s="2"/>
      </tp>
      <tp t="s">
        <v>#N/A N/A</v>
        <stp/>
        <stp>BDP|15704281999046313183</stp>
        <tr r="D61" s="2"/>
      </tp>
      <tp t="s">
        <v>#N/A N/A</v>
        <stp/>
        <stp>BDP|12963322421123531924</stp>
        <tr r="D115" s="2"/>
      </tp>
      <tp t="s">
        <v>#N/A Requesting Data...3315643062</v>
        <stp/>
        <stp>BDP|12076733959898646119</stp>
        <tr r="T127" s="2"/>
      </tp>
      <tp t="s">
        <v>#N/A Requesting Data...4170662386</v>
        <stp/>
        <stp>BDP|13752908010730289285</stp>
        <tr r="O86" s="2"/>
      </tp>
      <tp t="s">
        <v>#N/A Requesting Data...3850854912</v>
        <stp/>
        <stp>BDP|10507075836823811903</stp>
        <tr r="G108" s="2"/>
      </tp>
      <tp t="s">
        <v>#N/A N/A</v>
        <stp/>
        <stp>BDP|16016781794812855380</stp>
        <tr r="C31" s="2"/>
      </tp>
      <tp t="s">
        <v>#N/A Requesting Data...4276773960</v>
        <stp/>
        <stp>BDP|13166164548759592655</stp>
        <tr r="P133" s="2"/>
      </tp>
      <tp t="s">
        <v>#N/A Requesting Data...3527430789</v>
        <stp/>
        <stp>BDP|16296581511572287969</stp>
        <tr r="Y67" s="2"/>
      </tp>
      <tp t="s">
        <v>#N/A N/A</v>
        <stp/>
        <stp>BDP|15534828618215382032</stp>
        <tr r="F145" s="2"/>
      </tp>
      <tp t="s">
        <v>#N/A Requesting Data...3617297283</v>
        <stp/>
        <stp>BDP|16197263813848328482</stp>
        <tr r="P58" s="2"/>
      </tp>
      <tp t="s">
        <v>#N/A Requesting Data...3432102647</v>
        <stp/>
        <stp>BDP|13776601219185128802</stp>
        <tr r="X70" s="2"/>
      </tp>
      <tp t="s">
        <v>#N/A Requesting Data...3435580576</v>
        <stp/>
        <stp>BDP|10087919154493266699</stp>
        <tr r="S69" s="2"/>
      </tp>
      <tp t="s">
        <v>#N/A N/A</v>
        <stp/>
        <stp>BDP|16950921606003535564</stp>
        <tr r="F127" s="2"/>
      </tp>
      <tp t="s">
        <v>#N/A N/A</v>
        <stp/>
        <stp>BDP|12916269273808128632</stp>
        <tr r="F100" s="2"/>
      </tp>
      <tp t="s">
        <v>#N/A N/A</v>
        <stp/>
        <stp>BDP|11739503783801864429</stp>
        <tr r="C53" s="2"/>
      </tp>
      <tp t="s">
        <v>#N/A Requesting Data...3402406333</v>
        <stp/>
        <stp>BDP|14061602876774156864</stp>
        <tr r="J134" s="2"/>
      </tp>
      <tp t="s">
        <v>#N/A Requesting Data...3633007147</v>
        <stp/>
        <stp>BDP|10269474443541547822</stp>
        <tr r="G100" s="2"/>
      </tp>
      <tp t="s">
        <v>#N/A Requesting Data...3745715574</v>
        <stp/>
        <stp>BDP|18062315330855985497</stp>
        <tr r="J125" s="2"/>
      </tp>
      <tp t="s">
        <v>#N/A Requesting Data...3745727305</v>
        <stp/>
        <stp>BDP|15682960050170579055</stp>
        <tr r="N161" s="2"/>
      </tp>
      <tp t="s">
        <v>#N/A Requesting Data...4247209777</v>
        <stp/>
        <stp>BDP|16924743860958945640</stp>
        <tr r="J13" s="2"/>
      </tp>
      <tp t="s">
        <v>#N/A Requesting Data...3774947007</v>
        <stp/>
        <stp>BDP|16623002858442963849</stp>
        <tr r="N108" s="2"/>
      </tp>
      <tp t="s">
        <v>#N/A N/A</v>
        <stp/>
        <stp>BDP|11890985254784429030</stp>
        <tr r="D2" s="2"/>
      </tp>
      <tp t="s">
        <v>#N/A Requesting Data...4215907415</v>
        <stp/>
        <stp>BDP|17977982176345416508</stp>
        <tr r="Q150" s="2"/>
      </tp>
      <tp t="s">
        <v>#N/A Requesting Data...3814927658</v>
        <stp/>
        <stp>BDP|15489050065502632812</stp>
        <tr r="X79" s="2"/>
      </tp>
      <tp t="s">
        <v>#N/A N/A</v>
        <stp/>
        <stp>BDP|15227268616298097711</stp>
        <tr r="F65" s="2"/>
      </tp>
      <tp t="s">
        <v>#N/A Requesting Data...3899384089</v>
        <stp/>
        <stp>BDP|15907316187234468399</stp>
        <tr r="Y127" s="2"/>
      </tp>
      <tp t="s">
        <v>#N/A N/A</v>
        <stp/>
        <stp>BDP|10685160499886223792</stp>
        <tr r="B112" s="2"/>
      </tp>
      <tp t="s">
        <v>#N/A Requesting Data...3208049792</v>
        <stp/>
        <stp>BDP|12911001413882095887</stp>
        <tr r="O50" s="2"/>
      </tp>
      <tp t="s">
        <v>#N/A Requesting Data...3693520691</v>
        <stp/>
        <stp>BDP|16575415783722573104</stp>
        <tr r="G40" s="2"/>
      </tp>
      <tp t="s">
        <v>#N/A Requesting Data...3367601178</v>
        <stp/>
        <stp>BDP|17451978171420632011</stp>
        <tr r="P132" s="2"/>
      </tp>
      <tp t="s">
        <v>#N/A Requesting Data...3347633975</v>
        <stp/>
        <stp>BDP|17014418462188325452</stp>
        <tr r="P18" s="2"/>
      </tp>
      <tp t="s">
        <v>#N/A N/A</v>
        <stp/>
        <stp>BDP|13334065366384089860</stp>
        <tr r="B46" s="2"/>
      </tp>
      <tp t="s">
        <v>#N/A Requesting Data...3286270925</v>
        <stp/>
        <stp>BDP|16274751926092209864</stp>
        <tr r="T47" s="2"/>
      </tp>
      <tp t="s">
        <v>#N/A Requesting Data...3284250744</v>
        <stp/>
        <stp>BDP|17686107306098490714</stp>
        <tr r="N97" s="2"/>
      </tp>
      <tp t="s">
        <v>#N/A Requesting Data...3140907386</v>
        <stp/>
        <stp>BDP|11321672055659115255</stp>
        <tr r="Q86" s="2"/>
      </tp>
      <tp t="s">
        <v>#N/A Requesting Data...3894737167</v>
        <stp/>
        <stp>BDP|10492363170594607918</stp>
        <tr r="S96" s="2"/>
      </tp>
      <tp t="s">
        <v>#N/A N/A</v>
        <stp/>
        <stp>BDP|17077039946818800281</stp>
        <tr r="B31" s="2"/>
      </tp>
      <tp t="s">
        <v>#N/A N/A</v>
        <stp/>
        <stp>BDP|16941087552508631203</stp>
        <tr r="B151" s="2"/>
      </tp>
      <tp t="s">
        <v>#N/A Requesting Data...2947642506</v>
        <stp/>
        <stp>BDP|10232538496162443768</stp>
        <tr r="Y15" s="2"/>
      </tp>
      <tp t="s">
        <v>#N/A N/A</v>
        <stp/>
        <stp>BDP|16036235484591669440</stp>
        <tr r="I35" s="2"/>
      </tp>
      <tp t="s">
        <v>#N/A Requesting Data...3382456623</v>
        <stp/>
        <stp>BDP|10724558980863148762</stp>
        <tr r="S133" s="2"/>
      </tp>
      <tp t="s">
        <v>#N/A Requesting Data...2842121043</v>
        <stp/>
        <stp>BDP|13482519282147089033</stp>
        <tr r="P8" s="2"/>
      </tp>
      <tp t="s">
        <v>#N/A N/A</v>
        <stp/>
        <stp>BDP|13227309970036482828</stp>
        <tr r="D90" s="2"/>
      </tp>
      <tp t="s">
        <v>#N/A N/A</v>
        <stp/>
        <stp>BDP|16467402911122994885</stp>
        <tr r="D160" s="2"/>
      </tp>
      <tp t="s">
        <v>#N/A Requesting Data...3601614068</v>
        <stp/>
        <stp>BDP|17945755387346851774</stp>
        <tr r="Y134" s="2"/>
      </tp>
      <tp t="s">
        <v>#N/A Requesting Data...3017890038</v>
        <stp/>
        <stp>BDP|13175642385285408100</stp>
        <tr r="T126" s="2"/>
      </tp>
      <tp t="s">
        <v>#N/A Requesting Data...2894916761</v>
        <stp/>
        <stp>BDP|17357712882698627925</stp>
        <tr r="S94" s="2"/>
      </tp>
      <tp t="s">
        <v>#N/A N/A</v>
        <stp/>
        <stp>BDP|10300963103177744769</stp>
        <tr r="C54" s="2"/>
      </tp>
      <tp t="s">
        <v>#N/A N/A</v>
        <stp/>
        <stp>BDP|18096343938558354984</stp>
        <tr r="B81" s="2"/>
      </tp>
      <tp t="s">
        <v>#N/A N/A</v>
        <stp/>
        <stp>BDP|11955976748320111503</stp>
        <tr r="I15" s="2"/>
      </tp>
      <tp t="s">
        <v>#N/A N/A</v>
        <stp/>
        <stp>BDP|12628722782052874693</stp>
        <tr r="F162" s="2"/>
      </tp>
      <tp t="s">
        <v>#N/A N/A</v>
        <stp/>
        <stp>BDP|10709499574162422882</stp>
        <tr r="D56" s="2"/>
      </tp>
      <tp t="s">
        <v>#N/A Requesting Data...4170446073</v>
        <stp/>
        <stp>BDP|16637290382085938020</stp>
        <tr r="K87" s="2"/>
      </tp>
      <tp t="s">
        <v>#N/A Requesting Data...3159853892</v>
        <stp/>
        <stp>BDP|11053229396996277505</stp>
        <tr r="N81" s="2"/>
      </tp>
      <tp t="s">
        <v>#N/A Requesting Data...3901535250</v>
        <stp/>
        <stp>BDP|15110244984984513229</stp>
        <tr r="O12" s="2"/>
      </tp>
      <tp t="s">
        <v>#N/A Requesting Data...3503658243</v>
        <stp/>
        <stp>BDP|10029885722072277618</stp>
        <tr r="P60" s="2"/>
      </tp>
      <tp t="s">
        <v>#N/A Requesting Data...3809149397</v>
        <stp/>
        <stp>BDP|15274950851142819577</stp>
        <tr r="J40" s="2"/>
      </tp>
      <tp t="s">
        <v>#N/A Requesting Data...3321187110</v>
        <stp/>
        <stp>BDP|17302897733837603574</stp>
        <tr r="J101" s="2"/>
      </tp>
      <tp t="s">
        <v>#N/A Requesting Data...3339174121</v>
        <stp/>
        <stp>BDP|13815832995345072968</stp>
        <tr r="O69" s="2"/>
      </tp>
      <tp t="s">
        <v>#N/A Requesting Data...3131307017</v>
        <stp/>
        <stp>BDP|10461262786661412582</stp>
        <tr r="T125" s="2"/>
      </tp>
      <tp t="s">
        <v>#N/A N/A</v>
        <stp/>
        <stp>BDP|10174782955499389579</stp>
        <tr r="D153" s="2"/>
      </tp>
      <tp t="s">
        <v>#N/A N/A</v>
        <stp/>
        <stp>BDP|11804641486721630041</stp>
        <tr r="D85" s="2"/>
      </tp>
      <tp t="s">
        <v>#N/A Requesting Data...4277120988</v>
        <stp/>
        <stp>BDP|12686789914009987383</stp>
        <tr r="X77" s="2"/>
      </tp>
      <tp t="s">
        <v>#N/A Requesting Data...4174841059</v>
        <stp/>
        <stp>BDP|13085653579294021875</stp>
        <tr r="N152" s="2"/>
      </tp>
      <tp t="s">
        <v>#N/A N/A</v>
        <stp/>
        <stp>BDP|12044365580301951649</stp>
        <tr r="C153" s="2"/>
      </tp>
      <tp t="s">
        <v>#N/A N/A</v>
        <stp/>
        <stp>BDP|12975470632569489236</stp>
        <tr r="F20" s="2"/>
      </tp>
      <tp t="s">
        <v>#N/A Requesting Data...3910313077</v>
        <stp/>
        <stp>BDP|10205706255378905456</stp>
        <tr r="T102" s="2"/>
      </tp>
      <tp t="s">
        <v>#N/A Requesting Data...3456902807</v>
        <stp/>
        <stp>BDP|14808172694036914489</stp>
        <tr r="S53" s="2"/>
      </tp>
      <tp t="s">
        <v>#N/A N/A</v>
        <stp/>
        <stp>BDP|17314131299807612658</stp>
        <tr r="I88" s="2"/>
      </tp>
      <tp t="s">
        <v>#N/A Requesting Data...4219471789</v>
        <stp/>
        <stp>BDP|16685995311425251569</stp>
        <tr r="T49" s="2"/>
      </tp>
      <tp t="s">
        <v>#N/A N/A</v>
        <stp/>
        <stp>BDP|12527825904131997572</stp>
        <tr r="C123" s="2"/>
      </tp>
      <tp t="s">
        <v>#N/A Requesting Data...3748902603</v>
        <stp/>
        <stp>BDP|13394953058862703343</stp>
        <tr r="P102" s="2"/>
      </tp>
      <tp t="s">
        <v>#N/A Requesting Data...3534492961</v>
        <stp/>
        <stp>BDP|15206593627355987996</stp>
        <tr r="Q58" s="2"/>
      </tp>
      <tp t="s">
        <v>#N/A N/A</v>
        <stp/>
        <stp>BDP|12626267168218733037</stp>
        <tr r="B37" s="2"/>
      </tp>
      <tp t="s">
        <v>#N/A Requesting Data...3206062731</v>
        <stp/>
        <stp>BDP|17843191523633802962</stp>
        <tr r="X107" s="2"/>
      </tp>
      <tp t="s">
        <v>#N/A Requesting Data...3343985823</v>
        <stp/>
        <stp>BDP|18209460849091530746</stp>
        <tr r="X101" s="2"/>
      </tp>
      <tp t="s">
        <v>#N/A Requesting Data...3678401917</v>
        <stp/>
        <stp>BDP|10517665089202158277</stp>
        <tr r="O157" s="2"/>
      </tp>
      <tp t="s">
        <v>#N/A N/A</v>
        <stp/>
        <stp>BDP|15719874803791966260</stp>
        <tr r="I33" s="2"/>
      </tp>
      <tp t="s">
        <v>#N/A N/A</v>
        <stp/>
        <stp>BDP|15531719812169901405</stp>
        <tr r="B89" s="2"/>
      </tp>
      <tp t="s">
        <v>#N/A N/A</v>
        <stp/>
        <stp>BDP|17157786680836736014</stp>
        <tr r="D138" s="2"/>
      </tp>
      <tp t="s">
        <v>#N/A Requesting Data...3050615624</v>
        <stp/>
        <stp>BDP|17630561149390369854</stp>
        <tr r="S61" s="2"/>
      </tp>
      <tp t="s">
        <v>#N/A Requesting Data...3455606812</v>
        <stp/>
        <stp>BDP|14983149977459573506</stp>
        <tr r="S35" s="2"/>
      </tp>
      <tp t="s">
        <v>#N/A Requesting Data...3005369421</v>
        <stp/>
        <stp>BDP|14378578764451417854</stp>
        <tr r="P159" s="2"/>
      </tp>
      <tp t="s">
        <v>#N/A N/A</v>
        <stp/>
        <stp>BDP|11077175473170600932</stp>
        <tr r="F73" s="2"/>
      </tp>
      <tp t="s">
        <v>#N/A Requesting Data...3689601582</v>
        <stp/>
        <stp>BDP|12905975019907582331</stp>
        <tr r="J16" s="2"/>
      </tp>
      <tp t="s">
        <v>#N/A Requesting Data...3730577225</v>
        <stp/>
        <stp>BDP|11858019366111619896</stp>
        <tr r="K52" s="2"/>
      </tp>
      <tp t="s">
        <v>#N/A Requesting Data...3061594546</v>
        <stp/>
        <stp>BDP|18087876012697686839</stp>
        <tr r="P27" s="2"/>
      </tp>
      <tp t="s">
        <v>#N/A N/A</v>
        <stp/>
        <stp>BDP|17348928392399128024</stp>
        <tr r="I6" s="2"/>
      </tp>
      <tp t="s">
        <v>#N/A Requesting Data...3047970442</v>
        <stp/>
        <stp>BDP|13498316000388679639</stp>
        <tr r="Q135" s="2"/>
      </tp>
      <tp t="s">
        <v>#N/A Requesting Data...3094450957</v>
        <stp/>
        <stp>BDP|12905037992872997717</stp>
        <tr r="N55" s="2"/>
      </tp>
      <tp t="s">
        <v>#N/A N/A</v>
        <stp/>
        <stp>BDP|18178894511058170783</stp>
        <tr r="B26" s="2"/>
      </tp>
      <tp t="s">
        <v>#N/A Requesting Data...3595460952</v>
        <stp/>
        <stp>BDP|15664227356919029513</stp>
        <tr r="G37" s="2"/>
      </tp>
      <tp t="s">
        <v>#N/A Requesting Data...3986063943</v>
        <stp/>
        <stp>BDP|15242059893471413331</stp>
        <tr r="N122" s="2"/>
      </tp>
      <tp t="s">
        <v>#N/A N/A</v>
        <stp/>
        <stp>BDP|13512322265071798964</stp>
        <tr r="C128" s="2"/>
      </tp>
      <tp t="s">
        <v>#N/A Requesting Data...3984288881</v>
        <stp/>
        <stp>BDP|14105069629709442197</stp>
        <tr r="G135" s="2"/>
      </tp>
      <tp t="s">
        <v>#N/A Requesting Data...4242948474</v>
        <stp/>
        <stp>BDP|15927078710338513285</stp>
        <tr r="T106" s="2"/>
      </tp>
      <tp t="s">
        <v>#N/A Requesting Data...4065360319</v>
        <stp/>
        <stp>BDP|14219962558093842575</stp>
        <tr r="T159" s="2"/>
      </tp>
      <tp t="s">
        <v>#N/A Requesting Data...3570881538</v>
        <stp/>
        <stp>BDP|16671355487766680519</stp>
        <tr r="X14" s="2"/>
      </tp>
      <tp t="s">
        <v>#N/A N/A</v>
        <stp/>
        <stp>BDP|12722107599375456189</stp>
        <tr r="I113" s="2"/>
      </tp>
      <tp t="s">
        <v>#N/A N/A</v>
        <stp/>
        <stp>BDP|17142125051709599451</stp>
        <tr r="I138" s="2"/>
      </tp>
      <tp t="s">
        <v>#N/A Requesting Data...4147905284</v>
        <stp/>
        <stp>BDP|18337170653687100548</stp>
        <tr r="J122" s="2"/>
      </tp>
      <tp t="s">
        <v>#N/A N/A</v>
        <stp/>
        <stp>BDP|12653043202845746957</stp>
        <tr r="C105" s="2"/>
      </tp>
      <tp t="s">
        <v>#N/A Requesting Data...3316975226</v>
        <stp/>
        <stp>BDP|11678437274795316904</stp>
        <tr r="G150" s="2"/>
      </tp>
      <tp t="s">
        <v>#N/A Requesting Data...4144771697</v>
        <stp/>
        <stp>BDP|15737155444469563711</stp>
        <tr r="N96" s="2"/>
      </tp>
      <tp t="s">
        <v>#N/A Requesting Data...3680414912</v>
        <stp/>
        <stp>BDP|11405323241419430110</stp>
        <tr r="Y157" s="2"/>
      </tp>
      <tp t="s">
        <v>#N/A Requesting Data...3497623507</v>
        <stp/>
        <stp>BDP|17673992563131882712</stp>
        <tr r="K16" s="2"/>
      </tp>
      <tp t="s">
        <v>#N/A Requesting Data...4256240220</v>
        <stp/>
        <stp>BDP|14147792966109214290</stp>
        <tr r="S152" s="2"/>
      </tp>
      <tp t="s">
        <v>#N/A Requesting Data...2967604372</v>
        <stp/>
        <stp>BDP|14952099782234768613</stp>
        <tr r="G158" s="2"/>
      </tp>
      <tp t="s">
        <v>#N/A Requesting Data...3246533349</v>
        <stp/>
        <stp>BDP|13358103214888256510</stp>
        <tr r="K68" s="2"/>
      </tp>
      <tp t="s">
        <v>#N/A Requesting Data...3888606590</v>
        <stp/>
        <stp>BDP|11856439386756913502</stp>
        <tr r="J31" s="2"/>
      </tp>
      <tp t="s">
        <v>#N/A Requesting Data...3106312257</v>
        <stp/>
        <stp>BDP|16470913955804331072</stp>
        <tr r="S32" s="2"/>
      </tp>
      <tp t="s">
        <v>#N/A Requesting Data...3912053562</v>
        <stp/>
        <stp>BDP|16331742785634072363</stp>
        <tr r="O148" s="2"/>
      </tp>
      <tp t="s">
        <v>#N/A Requesting Data...4289566293</v>
        <stp/>
        <stp>BDP|14518988670806170282</stp>
        <tr r="P95" s="2"/>
      </tp>
      <tp t="s">
        <v>#N/A Requesting Data...3465092861</v>
        <stp/>
        <stp>BDP|16866264975215913859</stp>
        <tr r="K63" s="2"/>
      </tp>
      <tp t="s">
        <v>#N/A Requesting Data...3479079477</v>
        <stp/>
        <stp>BDP|18046345866430499312</stp>
        <tr r="Y162" s="2"/>
      </tp>
      <tp t="s">
        <v>#N/A N/A</v>
        <stp/>
        <stp>BDP|16367428916105550856</stp>
        <tr r="C13" s="2"/>
      </tp>
      <tp t="s">
        <v>#N/A N/A</v>
        <stp/>
        <stp>BDP|14267502197570638641</stp>
        <tr r="C133" s="2"/>
      </tp>
      <tp t="s">
        <v>#N/A Requesting Data...3178366812</v>
        <stp/>
        <stp>BDP|16542701250772325811</stp>
        <tr r="P134" s="2"/>
      </tp>
      <tp t="s">
        <v>#N/A N/A</v>
        <stp/>
        <stp>BDP|14152713975058402261</stp>
        <tr r="B96" s="2"/>
      </tp>
      <tp t="s">
        <v>#N/A Requesting Data...3771142320</v>
        <stp/>
        <stp>BDP|15473536809338943603</stp>
        <tr r="O73" s="2"/>
      </tp>
      <tp t="s">
        <v>#N/A Requesting Data...4183948108</v>
        <stp/>
        <stp>BDP|12855204185764226299</stp>
        <tr r="O61" s="2"/>
      </tp>
      <tp t="s">
        <v>#N/A Requesting Data...3257572690</v>
        <stp/>
        <stp>BDP|13224959331964691369</stp>
        <tr r="T81" s="2"/>
      </tp>
      <tp t="s">
        <v>#N/A N/A</v>
        <stp/>
        <stp>BDP|11313856237577023370</stp>
        <tr r="C21" s="2"/>
      </tp>
      <tp t="s">
        <v>#N/A Requesting Data...4113705396</v>
        <stp/>
        <stp>BDP|10794503331308482045</stp>
        <tr r="O81" s="2"/>
      </tp>
      <tp t="s">
        <v>#N/A N/A</v>
        <stp/>
        <stp>BDP|18339201168584751759</stp>
        <tr r="I123" s="2"/>
      </tp>
      <tp t="s">
        <v>#N/A Requesting Data...3947730181</v>
        <stp/>
        <stp>BDP|16955911685891502915</stp>
        <tr r="K98" s="2"/>
      </tp>
      <tp t="s">
        <v>#N/A Requesting Data...3919530909</v>
        <stp/>
        <stp>BDP|11907866475808437972</stp>
        <tr r="Q41" s="2"/>
      </tp>
      <tp t="s">
        <v>#N/A N/A</v>
        <stp/>
        <stp>BDP|13202788177655175949</stp>
        <tr r="B76" s="2"/>
      </tp>
      <tp t="s">
        <v>#N/A Requesting Data...3786291419</v>
        <stp/>
        <stp>BDP|17238654244473856931</stp>
        <tr r="X64" s="2"/>
      </tp>
      <tp t="s">
        <v>#N/A N/A</v>
        <stp/>
        <stp>BDP|17116848428291277347</stp>
        <tr r="I116" s="2"/>
      </tp>
      <tp t="s">
        <v>#N/A Requesting Data...3278845443</v>
        <stp/>
        <stp>BDP|16609331253637987842</stp>
        <tr r="P146" s="2"/>
      </tp>
      <tp t="s">
        <v>#N/A N/A</v>
        <stp/>
        <stp>BDP|17652853149794583044</stp>
        <tr r="I37" s="2"/>
      </tp>
      <tp t="s">
        <v>#N/A N/A</v>
        <stp/>
        <stp>BDP|15995129953308281603</stp>
        <tr r="B43" s="2"/>
      </tp>
      <tp t="s">
        <v>#N/A N/A</v>
        <stp/>
        <stp>BDP|14098846682169846242</stp>
        <tr r="F28" s="2"/>
      </tp>
      <tp t="s">
        <v>#N/A Requesting Data...3075956257</v>
        <stp/>
        <stp>BDP|14917088209419797258</stp>
        <tr r="T115" s="2"/>
      </tp>
      <tp t="s">
        <v>#N/A Requesting Data...3475678746</v>
        <stp/>
        <stp>BDP|13923378090966145055</stp>
        <tr r="G129" s="2"/>
      </tp>
      <tp t="s">
        <v>#N/A N/A</v>
        <stp/>
        <stp>BDP|15816110791332223001</stp>
        <tr r="F112" s="2"/>
      </tp>
      <tp t="s">
        <v>#N/A N/A</v>
        <stp/>
        <stp>BDP|14603995941315331308</stp>
        <tr r="B93" s="2"/>
      </tp>
      <tp t="s">
        <v>#N/A Requesting Data...3465970878</v>
        <stp/>
        <stp>BDP|16150609552773802969</stp>
        <tr r="N32" s="2"/>
      </tp>
      <tp t="s">
        <v>#N/A N/A</v>
        <stp/>
        <stp>BDP|12366179382816879230</stp>
        <tr r="D30" s="2"/>
      </tp>
      <tp t="s">
        <v>#N/A Requesting Data...3184851433</v>
        <stp/>
        <stp>BDP|14027134349199741706</stp>
        <tr r="O99" s="2"/>
      </tp>
      <tp t="s">
        <v>#N/A Requesting Data...3972737259</v>
        <stp/>
        <stp>BDP|16468340087647367593</stp>
        <tr r="K127" s="2"/>
      </tp>
      <tp t="s">
        <v>#N/A N/A</v>
        <stp/>
        <stp>BDP|14942449313688709652</stp>
        <tr r="F134" s="2"/>
      </tp>
      <tp t="s">
        <v>#N/A N/A</v>
        <stp/>
        <stp>BDP|11624958219295632306</stp>
        <tr r="F108" s="2"/>
      </tp>
      <tp t="s">
        <v>#N/A Requesting Data...3808889491</v>
        <stp/>
        <stp>BDP|11087364818095055925</stp>
        <tr r="X141" s="2"/>
      </tp>
      <tp t="s">
        <v>#N/A N/A</v>
        <stp/>
        <stp>BDP|13750026687842704698</stp>
        <tr r="C17" s="2"/>
      </tp>
      <tp t="s">
        <v>#N/A N/A</v>
        <stp/>
        <stp>BDP|15539872828642577232</stp>
        <tr r="C94" s="2"/>
      </tp>
      <tp t="s">
        <v>#N/A N/A</v>
        <stp/>
        <stp>BDP|10175582731578679121</stp>
        <tr r="F79" s="2"/>
      </tp>
      <tp t="s">
        <v>#N/A Requesting Data...4260918339</v>
        <stp/>
        <stp>BDP|17885866846462712603</stp>
        <tr r="Q104" s="2"/>
      </tp>
      <tp t="s">
        <v>#N/A N/A</v>
        <stp/>
        <stp>BDP|14939843961291655451</stp>
        <tr r="I67" s="2"/>
      </tp>
      <tp t="s">
        <v>#N/A Requesting Data...4126859362</v>
        <stp/>
        <stp>BDP|13457445518038424134</stp>
        <tr r="P77" s="2"/>
      </tp>
      <tp t="s">
        <v>#N/A Requesting Data...3131303649</v>
        <stp/>
        <stp>BDP|11574858456244071781</stp>
        <tr r="P50" s="2"/>
      </tp>
      <tp t="s">
        <v>#N/A Requesting Data...4183538501</v>
        <stp/>
        <stp>BDP|11275483976049698440</stp>
        <tr r="P131" s="2"/>
      </tp>
      <tp t="s">
        <v>#N/A Requesting Data...3860076522</v>
        <stp/>
        <stp>BDP|11284313171472945858</stp>
        <tr r="T22" s="2"/>
      </tp>
      <tp t="s">
        <v>#N/A Requesting Data...3847560752</v>
        <stp/>
        <stp>BDP|13880794414032004847</stp>
        <tr r="Y148" s="2"/>
      </tp>
      <tp t="s">
        <v>#N/A Requesting Data...3518792652</v>
        <stp/>
        <stp>BDP|16089959941706256279</stp>
        <tr r="X75" s="2"/>
      </tp>
      <tp t="s">
        <v>#N/A Requesting Data...3938553181</v>
        <stp/>
        <stp>BDP|11693926570349518904</stp>
        <tr r="K128" s="2"/>
      </tp>
      <tp t="s">
        <v>#N/A Requesting Data...3003254378</v>
        <stp/>
        <stp>BDP|15416801913447195470</stp>
        <tr r="X156" s="2"/>
      </tp>
      <tp t="s">
        <v>#N/A Requesting Data...3908181720</v>
        <stp/>
        <stp>BDP|16532811945560511557</stp>
        <tr r="S51" s="2"/>
      </tp>
      <tp t="s">
        <v>#N/A Requesting Data...3785083991</v>
        <stp/>
        <stp>BDP|10416523802203658932</stp>
        <tr r="O150" s="2"/>
      </tp>
      <tp t="s">
        <v>#N/A Requesting Data...3836308881</v>
        <stp/>
        <stp>BDP|13817449687113266389</stp>
        <tr r="J97" s="2"/>
      </tp>
      <tp t="s">
        <v>#N/A Requesting Data...3674983787</v>
        <stp/>
        <stp>BDP|14029012855966474801</stp>
        <tr r="K157" s="2"/>
      </tp>
      <tp t="s">
        <v>#N/A Requesting Data...4095424200</v>
        <stp/>
        <stp>BDP|10526747493649565878</stp>
        <tr r="S2" s="2"/>
      </tp>
      <tp t="s">
        <v>#N/A Requesting Data...4163619042</v>
        <stp/>
        <stp>BDP|11053050990102709524</stp>
        <tr r="K39" s="2"/>
      </tp>
      <tp t="s">
        <v>#N/A Requesting Data...3017900651</v>
        <stp/>
        <stp>BDP|17139713561588474169</stp>
        <tr r="X113" s="2"/>
      </tp>
      <tp t="s">
        <v>#N/A Requesting Data...3980685828</v>
        <stp/>
        <stp>BDP|14510026749537811859</stp>
        <tr r="G149" s="2"/>
      </tp>
      <tp t="s">
        <v>#N/A Requesting Data...3809893637</v>
        <stp/>
        <stp>BDP|16170710482056124008</stp>
        <tr r="Q24" s="2"/>
      </tp>
      <tp t="s">
        <v>#N/A Requesting Data...3491581088</v>
        <stp/>
        <stp>BDP|14769521047272624873</stp>
        <tr r="O98" s="2"/>
      </tp>
      <tp t="s">
        <v>#N/A N/A</v>
        <stp/>
        <stp>BDP|12570626273849791504</stp>
        <tr r="F160" s="2"/>
      </tp>
      <tp t="s">
        <v>#N/A Requesting Data...4085109211</v>
        <stp/>
        <stp>BDP|18249544427374592469</stp>
        <tr r="O51" s="2"/>
      </tp>
      <tp t="s">
        <v>#N/A Requesting Data...3683117353</v>
        <stp/>
        <stp>BDP|16502382286046160486</stp>
        <tr r="K28" s="2"/>
      </tp>
      <tp t="s">
        <v>#N/A N/A</v>
        <stp/>
        <stp>BDP|12280951422972153462</stp>
        <tr r="F55" s="2"/>
      </tp>
      <tp t="s">
        <v>#N/A Requesting Data...3473498498</v>
        <stp/>
        <stp>BDP|15727572384190361729</stp>
        <tr r="N105" s="2"/>
      </tp>
      <tp t="s">
        <v>#N/A N/A</v>
        <stp/>
        <stp>BDP|13664491699637061639</stp>
        <tr r="D49" s="2"/>
      </tp>
      <tp t="s">
        <v>#N/A Requesting Data...4211671629</v>
        <stp/>
        <stp>BDP|16941781685256545044</stp>
        <tr r="O131" s="2"/>
      </tp>
      <tp t="s">
        <v>#N/A N/A</v>
        <stp/>
        <stp>BDP|13619235608766019898</stp>
        <tr r="F68" s="2"/>
      </tp>
      <tp t="s">
        <v>#N/A N/A</v>
        <stp/>
        <stp>BDP|13563623636721694839</stp>
        <tr r="D68" s="2"/>
      </tp>
      <tp t="s">
        <v>#N/A N/A</v>
        <stp/>
        <stp>BDP|14114763451910717963</stp>
        <tr r="I13" s="2"/>
      </tp>
      <tp t="s">
        <v>#N/A Requesting Data...4184882575</v>
        <stp/>
        <stp>BDP|10449471087556481574</stp>
        <tr r="Q151" s="2"/>
      </tp>
      <tp t="s">
        <v>#N/A Requesting Data...3869661628</v>
        <stp/>
        <stp>BDP|15808882235477229608</stp>
        <tr r="J145" s="2"/>
      </tp>
      <tp t="s">
        <v>#N/A Requesting Data...3836686244</v>
        <stp/>
        <stp>BDP|11340178063419197012</stp>
        <tr r="O117" s="2"/>
      </tp>
      <tp t="s">
        <v>#N/A Requesting Data...4176009049</v>
        <stp/>
        <stp>BDP|10518115360239335107</stp>
        <tr r="J86" s="2"/>
      </tp>
      <tp t="s">
        <v>#N/A Requesting Data...3286241656</v>
        <stp/>
        <stp>BDP|17722565273459557306</stp>
        <tr r="Q65" s="2"/>
      </tp>
      <tp t="s">
        <v>#N/A N/A</v>
        <stp/>
        <stp>BDP|11185045170608062129</stp>
        <tr r="I147" s="2"/>
      </tp>
      <tp t="s">
        <v>#N/A Requesting Data...3527741044</v>
        <stp/>
        <stp>BDP|17588141896349241930</stp>
        <tr r="S58" s="2"/>
      </tp>
      <tp t="s">
        <v>#N/A Requesting Data...4277550141</v>
        <stp/>
        <stp>BDP|11501213830167672846</stp>
        <tr r="Q129" s="2"/>
      </tp>
      <tp t="s">
        <v>#N/A Requesting Data...4083563099</v>
        <stp/>
        <stp>BDP|16960009513590887842</stp>
        <tr r="O137" s="2"/>
      </tp>
      <tp t="s">
        <v>#N/A Requesting Data...3296554296</v>
        <stp/>
        <stp>BDP|16345271163418453551</stp>
        <tr r="J103" s="2"/>
      </tp>
      <tp t="s">
        <v>#N/A Requesting Data...3857143362</v>
        <stp/>
        <stp>BDP|10213007354142052806</stp>
        <tr r="T2" s="2"/>
      </tp>
      <tp t="s">
        <v>#N/A Requesting Data...3926664610</v>
        <stp/>
        <stp>BDP|14036238791725223690</stp>
        <tr r="S138" s="2"/>
      </tp>
      <tp t="s">
        <v>#N/A Requesting Data...3525772545</v>
        <stp/>
        <stp>BDP|16230939920403979217</stp>
        <tr r="Y83" s="2"/>
      </tp>
      <tp t="s">
        <v>#N/A Requesting Data...3501420364</v>
        <stp/>
        <stp>BDP|18050477630976662597</stp>
        <tr r="X51" s="2"/>
      </tp>
      <tp t="s">
        <v>#N/A Requesting Data...3497859249</v>
        <stp/>
        <stp>BDP|17285429658423293926</stp>
        <tr r="J121" s="2"/>
      </tp>
      <tp t="s">
        <v>#N/A Requesting Data...3301292134</v>
        <stp/>
        <stp>BDP|12278209495994998163</stp>
        <tr r="J17" s="2"/>
      </tp>
      <tp t="s">
        <v>#N/A Requesting Data...3085281156</v>
        <stp/>
        <stp>BDP|16519983254066148006</stp>
        <tr r="O112" s="2"/>
      </tp>
      <tp t="s">
        <v>#N/A Requesting Data...3965358515</v>
        <stp/>
        <stp>BDP|14907603226509012570</stp>
        <tr r="S104" s="2"/>
      </tp>
      <tp t="s">
        <v>#N/A Requesting Data...3496900312</v>
        <stp/>
        <stp>BDP|15346862519452243250</stp>
        <tr r="K41" s="2"/>
      </tp>
      <tp t="s">
        <v>#N/A Requesting Data...4173434375</v>
        <stp/>
        <stp>BDP|16404053560429881529</stp>
        <tr r="X146" s="2"/>
      </tp>
      <tp t="s">
        <v>#N/A Requesting Data...3139468949</v>
        <stp/>
        <stp>BDP|14494599976292032805</stp>
        <tr r="Q108" s="2"/>
      </tp>
      <tp t="s">
        <v>#N/A Requesting Data...3218786698</v>
        <stp/>
        <stp>BDP|15513819618148625803</stp>
        <tr r="Q137" s="2"/>
      </tp>
      <tp t="s">
        <v>#N/A N/A</v>
        <stp/>
        <stp>BDP|15505986535090310316</stp>
        <tr r="I62" s="2"/>
      </tp>
      <tp t="s">
        <v>#N/A Requesting Data...4210008344</v>
        <stp/>
        <stp>BDP|11486779566329180591</stp>
        <tr r="T34" s="2"/>
      </tp>
      <tp t="s">
        <v>#N/A N/A</v>
        <stp/>
        <stp>BDP|13566910658740789366</stp>
        <tr r="F101" s="2"/>
      </tp>
      <tp t="s">
        <v>#N/A Requesting Data...3859229096</v>
        <stp/>
        <stp>BDP|11943868672715636764</stp>
        <tr r="X108" s="2"/>
      </tp>
      <tp t="s">
        <v>#N/A Requesting Data...3779171904</v>
        <stp/>
        <stp>BDP|11652825658203852389</stp>
        <tr r="J32" s="2"/>
      </tp>
      <tp t="s">
        <v>#N/A N/A</v>
        <stp/>
        <stp>BDP|13882252037999445722</stp>
        <tr r="D69" s="2"/>
      </tp>
      <tp t="s">
        <v>#N/A N/A</v>
        <stp/>
        <stp>BDP|11115087589981707486</stp>
        <tr r="C71" s="2"/>
      </tp>
      <tp t="s">
        <v>#N/A Requesting Data...3243254315</v>
        <stp/>
        <stp>BDP|11801905233674320378</stp>
        <tr r="K132" s="2"/>
      </tp>
      <tp t="s">
        <v>#N/A Requesting Data...3496052186</v>
        <stp/>
        <stp>BDP|10448851177210876312</stp>
        <tr r="O66" s="2"/>
      </tp>
      <tp t="s">
        <v>#N/A Requesting Data...3730996233</v>
        <stp/>
        <stp>BDP|11918384385120357684</stp>
        <tr r="P105" s="2"/>
      </tp>
      <tp t="s">
        <v>#N/A Requesting Data...3571463206</v>
        <stp/>
        <stp>BDP|14405906670930224684</stp>
        <tr r="Y71" s="2"/>
      </tp>
      <tp t="s">
        <v>#N/A Requesting Data...3497433055</v>
        <stp/>
        <stp>BDP|11980478134583759933</stp>
        <tr r="O143" s="2"/>
      </tp>
      <tp t="s">
        <v>#N/A Requesting Data...3297024292</v>
        <stp/>
        <stp>BDP|17941181587561184361</stp>
        <tr r="P83" s="2"/>
      </tp>
      <tp t="s">
        <v>#N/A Requesting Data...3399220514</v>
        <stp/>
        <stp>BDP|11007857616763790754</stp>
        <tr r="Y89" s="2"/>
      </tp>
      <tp t="s">
        <v>#N/A Requesting Data...3797286355</v>
        <stp/>
        <stp>BDP|10647429904699209139</stp>
        <tr r="N13" s="2"/>
      </tp>
      <tp t="s">
        <v>#N/A Requesting Data...3766896196</v>
        <stp/>
        <stp>BDP|16670882934172810325</stp>
        <tr r="J119" s="2"/>
      </tp>
      <tp t="s">
        <v>#N/A Requesting Data...3936559041</v>
        <stp/>
        <stp>BDP|11189196382934247086</stp>
        <tr r="N11" s="2"/>
      </tp>
      <tp t="s">
        <v>#N/A N/A</v>
        <stp/>
        <stp>BDP|18073619413930546377</stp>
        <tr r="I30" s="2"/>
      </tp>
      <tp t="s">
        <v>#N/A Requesting Data...3507431674</v>
        <stp/>
        <stp>BDP|12714058381091390739</stp>
        <tr r="G93" s="2"/>
      </tp>
      <tp t="s">
        <v>#N/A N/A</v>
        <stp/>
        <stp>BDP|16822788735837266946</stp>
        <tr r="F153" s="2"/>
      </tp>
      <tp t="s">
        <v>#N/A Requesting Data...4275178972</v>
        <stp/>
        <stp>BDP|11022600320018404177</stp>
        <tr r="S118" s="2"/>
      </tp>
      <tp t="s">
        <v>#N/A Requesting Data...3790744548</v>
        <stp/>
        <stp>BDP|15459962902940421078</stp>
        <tr r="J105" s="2"/>
      </tp>
      <tp t="s">
        <v>#N/A Requesting Data...3885909749</v>
        <stp/>
        <stp>BDP|13078869052136219445</stp>
        <tr r="P11" s="2"/>
      </tp>
      <tp t="s">
        <v>#N/A N/A</v>
        <stp/>
        <stp>BDP|14382345657326707857</stp>
        <tr r="F45" s="2"/>
      </tp>
      <tp t="s">
        <v>#N/A Requesting Data...3919705625</v>
        <stp/>
        <stp>BDP|13602110964648593040</stp>
        <tr r="S13" s="2"/>
      </tp>
      <tp t="s">
        <v>#N/A Requesting Data...4167782942</v>
        <stp/>
        <stp>BDP|18215752266436332306</stp>
        <tr r="N128" s="2"/>
      </tp>
      <tp t="s">
        <v>#N/A Requesting Data...4114453896</v>
        <stp/>
        <stp>BDP|16816085159559203690</stp>
        <tr r="T37" s="2"/>
      </tp>
      <tp t="s">
        <v>#N/A Requesting Data...4090517133</v>
        <stp/>
        <stp>BDP|16886747790564095098</stp>
        <tr r="Y118" s="2"/>
      </tp>
      <tp t="s">
        <v>#N/A N/A</v>
        <stp/>
        <stp>BDP|16182584220794951950</stp>
        <tr r="I133" s="2"/>
      </tp>
      <tp t="s">
        <v>#N/A N/A</v>
        <stp/>
        <stp>BDP|18160249813962226515</stp>
        <tr r="C135" s="2"/>
      </tp>
      <tp t="s">
        <v>#N/A Requesting Data...3969660962</v>
        <stp/>
        <stp>BDP|17625007324130371946</stp>
        <tr r="P115" s="2"/>
      </tp>
      <tp t="s">
        <v>#N/A Requesting Data...3712343537</v>
        <stp/>
        <stp>BDP|11056733006189589340</stp>
        <tr r="K129" s="2"/>
      </tp>
      <tp t="s">
        <v>#N/A Requesting Data...3707484106</v>
        <stp/>
        <stp>BDP|16145376195950762002</stp>
        <tr r="O68" s="2"/>
      </tp>
      <tp t="s">
        <v>#N/A Requesting Data...3985284099</v>
        <stp/>
        <stp>BDP|15271806871275546325</stp>
        <tr r="J124" s="2"/>
      </tp>
      <tp t="s">
        <v>#N/A Requesting Data...3854492298</v>
        <stp/>
        <stp>BDP|10612424654335453802</stp>
        <tr r="T62" s="2"/>
      </tp>
      <tp t="s">
        <v>#N/A Requesting Data...3525898233</v>
        <stp/>
        <stp>BDP|14133361250729743740</stp>
        <tr r="Y155" s="2"/>
      </tp>
      <tp t="s">
        <v>#N/A N/A</v>
        <stp/>
        <stp>BDP|10754827307027765313</stp>
        <tr r="C148" s="2"/>
      </tp>
      <tp t="s">
        <v>#N/A N/A</v>
        <stp/>
        <stp>BDP|14258936566713780449</stp>
        <tr r="C33" s="2"/>
      </tp>
      <tp t="s">
        <v>#N/A Requesting Data...3991462996</v>
        <stp/>
        <stp>BDP|12894350105889843470</stp>
        <tr r="J70" s="2"/>
      </tp>
      <tp t="s">
        <v>#N/A N/A</v>
        <stp/>
        <stp>BDP|13223885535745962100</stp>
        <tr r="B127" s="2"/>
      </tp>
      <tp t="s">
        <v>#N/A N/A</v>
        <stp/>
        <stp>BDP|17006313092660448114</stp>
        <tr r="B14" s="2"/>
      </tp>
      <tp t="s">
        <v>#N/A Requesting Data...3637754862</v>
        <stp/>
        <stp>BDP|16121420264399655170</stp>
        <tr r="Q9" s="2"/>
      </tp>
      <tp t="s">
        <v>#N/A Requesting Data...4136709466</v>
        <stp/>
        <stp>BDP|11147479539342227947</stp>
        <tr r="O7" s="2"/>
      </tp>
      <tp t="s">
        <v>#N/A Requesting Data...4063610345</v>
        <stp/>
        <stp>BDP|17817432814439792610</stp>
        <tr r="T153" s="2"/>
      </tp>
      <tp t="s">
        <v>#N/A N/A</v>
        <stp/>
        <stp>BDP|10907919176082559121</stp>
        <tr r="F29" s="2"/>
      </tp>
      <tp t="s">
        <v>#N/A Requesting Data...3817474662</v>
        <stp/>
        <stp>BDP|15765081184197659744</stp>
        <tr r="G85" s="2"/>
      </tp>
      <tp t="s">
        <v>#N/A N/A</v>
        <stp/>
        <stp>BDP|16475956382938328284</stp>
        <tr r="F123" s="2"/>
      </tp>
      <tp t="s">
        <v>#N/A N/A</v>
        <stp/>
        <stp>BDP|14029896646464529126</stp>
        <tr r="D43" s="2"/>
      </tp>
      <tp t="s">
        <v>#N/A Requesting Data...3714006331</v>
        <stp/>
        <stp>BDP|10731883988839897449</stp>
        <tr r="N98" s="2"/>
      </tp>
      <tp t="s">
        <v>#N/A Requesting Data...4275542676</v>
        <stp/>
        <stp>BDP|16592232491489804947</stp>
        <tr r="X30" s="2"/>
      </tp>
      <tp t="s">
        <v>#N/A N/A</v>
        <stp/>
        <stp>BDP|12288984292279434673</stp>
        <tr r="B54" s="2"/>
      </tp>
      <tp t="s">
        <v>#N/A Requesting Data...4003619171</v>
        <stp/>
        <stp>BDP|18122482456363644725</stp>
        <tr r="G23" s="2"/>
      </tp>
      <tp t="s">
        <v>#N/A N/A</v>
        <stp/>
        <stp>BDP|12233839560341320080</stp>
        <tr r="F18" s="2"/>
      </tp>
      <tp t="s">
        <v>#N/A Requesting Data...3805771252</v>
        <stp/>
        <stp>BDP|10118907685875885968</stp>
        <tr r="O76" s="2"/>
      </tp>
      <tp t="s">
        <v>#N/A Requesting Data...4068133913</v>
        <stp/>
        <stp>BDP|16635473262230072999</stp>
        <tr r="S158" s="2"/>
      </tp>
      <tp t="s">
        <v>#N/A N/A</v>
        <stp/>
        <stp>BDP|15986300714119035379</stp>
        <tr r="D42" s="2"/>
      </tp>
      <tp t="s">
        <v>#N/A Requesting Data...4230636886</v>
        <stp/>
        <stp>BDP|16007924515767498498</stp>
        <tr r="Q140" s="2"/>
      </tp>
      <tp t="s">
        <v>#N/A N/A</v>
        <stp/>
        <stp>BDP|13164515383441016297</stp>
        <tr r="C48" s="2"/>
      </tp>
      <tp t="s">
        <v>#N/A Requesting Data...3541853870</v>
        <stp/>
        <stp>BDP|10305597496221517033</stp>
        <tr r="O154" s="2"/>
      </tp>
      <tp t="s">
        <v>#N/A Requesting Data...3341133898</v>
        <stp/>
        <stp>BDP|11979298404418859611</stp>
        <tr r="Q36" s="2"/>
      </tp>
      <tp t="s">
        <v>#N/A N/A</v>
        <stp/>
        <stp>BDP|15789243010172718994</stp>
        <tr r="B90" s="2"/>
      </tp>
      <tp t="s">
        <v>#N/A N/A</v>
        <stp/>
        <stp>BDP|17915217174178935788</stp>
        <tr r="B49" s="2"/>
      </tp>
      <tp t="s">
        <v>#N/A Requesting Data...4248299132</v>
        <stp/>
        <stp>BDP|14657548443618494080</stp>
        <tr r="Q123" s="2"/>
      </tp>
      <tp t="s">
        <v>#N/A N/A</v>
        <stp/>
        <stp>BDP|10494656048198358760</stp>
        <tr r="B106" s="2"/>
      </tp>
      <tp t="s">
        <v>#N/A N/A</v>
        <stp/>
        <stp>BDP|13690313673429068381</stp>
        <tr r="D121" s="2"/>
      </tp>
      <tp t="s">
        <v>#N/A Requesting Data...4098234820</v>
        <stp/>
        <stp>BDP|16849457495093262568</stp>
        <tr r="K123" s="2"/>
      </tp>
      <tp t="s">
        <v>#N/A Requesting Data...3710506140</v>
        <stp/>
        <stp>BDP|14931348477524136970</stp>
        <tr r="Q157" s="2"/>
      </tp>
      <tp t="s">
        <v>#N/A N/A</v>
        <stp/>
        <stp>BDP|13949810491649579609</stp>
        <tr r="D162" s="2"/>
      </tp>
      <tp t="s">
        <v>#N/A Requesting Data...3332406259</v>
        <stp/>
        <stp>BDP|17451096774275607833</stp>
        <tr r="Y46" s="2"/>
      </tp>
      <tp t="s">
        <v>#N/A Requesting Data...3115149668</v>
        <stp/>
        <stp>BDP|14607360929020443829</stp>
        <tr r="K125" s="2"/>
      </tp>
      <tp t="s">
        <v>#N/A Requesting Data...3280219906</v>
        <stp/>
        <stp>BDP|11583222794184479392</stp>
        <tr r="J55" s="2"/>
      </tp>
      <tp t="s">
        <v>#N/A N/A</v>
        <stp/>
        <stp>BDP|17449075514218806311</stp>
        <tr r="D134" s="2"/>
      </tp>
      <tp t="s">
        <v>#N/A Requesting Data...3487381221</v>
        <stp/>
        <stp>BDP|11176133498490287468</stp>
        <tr r="T65" s="2"/>
      </tp>
      <tp t="s">
        <v>#N/A Requesting Data...3217054982</v>
        <stp/>
        <stp>BDP|11632246484123294551</stp>
        <tr r="K17" s="2"/>
      </tp>
      <tp t="s">
        <v>#N/A N/A</v>
        <stp/>
        <stp>BDP|11285558823402250976</stp>
        <tr r="D88" s="2"/>
      </tp>
      <tp t="s">
        <v>#N/A N/A</v>
        <stp/>
        <stp>BDP|10026496342435902828</stp>
        <tr r="B65" s="2"/>
      </tp>
      <tp t="s">
        <v>#N/A Requesting Data...3243512403</v>
        <stp/>
        <stp>BDP|14743301631529493026</stp>
        <tr r="X90" s="2"/>
      </tp>
      <tp t="s">
        <v>#N/A Requesting Data...3187044533</v>
        <stp/>
        <stp>BDP|12040976723066403201</stp>
        <tr r="N149" s="2"/>
      </tp>
      <tp t="s">
        <v>#N/A Requesting Data...3758216449</v>
        <stp/>
        <stp>BDP|17378734873452577852</stp>
        <tr r="S151" s="2"/>
      </tp>
      <tp t="s">
        <v>#N/A Requesting Data...4004342238</v>
        <stp/>
        <stp>BDP|17043048319923615884</stp>
        <tr r="Y126" s="2"/>
      </tp>
      <tp t="s">
        <v>#N/A Requesting Data...3368006583</v>
        <stp/>
        <stp>BDP|18330054935197653178</stp>
        <tr r="J39" s="2"/>
      </tp>
      <tp t="s">
        <v>#N/A N/A</v>
        <stp/>
        <stp>BDP|15044924650560457449</stp>
        <tr r="C150" s="2"/>
      </tp>
      <tp t="s">
        <v>#N/A Requesting Data...4279079459</v>
        <stp/>
        <stp>BDP|15751239093742455116</stp>
        <tr r="T96" s="2"/>
      </tp>
      <tp t="s">
        <v>#N/A N/A</v>
        <stp/>
        <stp>BDP|16374306497209697807</stp>
        <tr r="F78" s="2"/>
      </tp>
      <tp t="s">
        <v>#N/A Requesting Data...3385414105</v>
        <stp/>
        <stp>BDP|17572924643565787265</stp>
        <tr r="J35" s="2"/>
      </tp>
      <tp t="s">
        <v>#N/A Requesting Data...3131426817</v>
        <stp/>
        <stp>BDP|11584444674077637860</stp>
        <tr r="N35" s="2"/>
      </tp>
      <tp t="s">
        <v>#N/A Requesting Data...3968214927</v>
        <stp/>
        <stp>BDP|13138934937063075702</stp>
        <tr r="X95" s="2"/>
      </tp>
      <tp t="s">
        <v>#N/A N/A</v>
        <stp/>
        <stp>BDP|11543027552768473158</stp>
        <tr r="I89" s="2"/>
      </tp>
      <tp t="s">
        <v>#N/A Requesting Data...4155268640</v>
        <stp/>
        <stp>BDP|10219876582614570968</stp>
        <tr r="J66" s="2"/>
      </tp>
      <tp t="s">
        <v>#N/A Requesting Data...4054143966</v>
        <stp/>
        <stp>BDP|17762612582852567654</stp>
        <tr r="T53" s="2"/>
      </tp>
      <tp t="s">
        <v>#N/A Requesting Data...3565524892</v>
        <stp/>
        <stp>BDP|13733095723835950907</stp>
        <tr r="T10" s="2"/>
      </tp>
      <tp t="s">
        <v>#N/A Requesting Data...3501379677</v>
        <stp/>
        <stp>BDP|10130555646234162874</stp>
        <tr r="G53" s="2"/>
      </tp>
      <tp t="s">
        <v>#N/A N/A</v>
        <stp/>
        <stp>BDP|16834426996002294496</stp>
        <tr r="D149" s="2"/>
      </tp>
      <tp t="s">
        <v>#N/A Requesting Data...3220971153</v>
        <stp/>
        <stp>BDP|10577651695537198532</stp>
        <tr r="J107" s="2"/>
      </tp>
      <tp t="s">
        <v>#N/A Requesting Data...3759345289</v>
        <stp/>
        <stp>BDP|11064554675416280851</stp>
        <tr r="J150" s="2"/>
      </tp>
      <tp t="s">
        <v>#N/A Requesting Data...4269152506</v>
        <stp/>
        <stp>BDP|15905287467378186401</stp>
        <tr r="G6" s="2"/>
      </tp>
      <tp t="s">
        <v>#N/A Requesting Data...4289722717</v>
        <stp/>
        <stp>BDP|10537921237976209159</stp>
        <tr r="N49" s="2"/>
      </tp>
      <tp t="s">
        <v>#N/A Requesting Data...3437097480</v>
        <stp/>
        <stp>BDP|14852574300484962812</stp>
        <tr r="X47" s="2"/>
      </tp>
      <tp t="s">
        <v>#N/A Requesting Data...3385479951</v>
        <stp/>
        <stp>BDP|12731912381469028702</stp>
        <tr r="S43" s="2"/>
      </tp>
      <tp t="s">
        <v>#N/A Requesting Data...4179287474</v>
        <stp/>
        <stp>BDP|10090907406113180702</stp>
        <tr r="P41" s="2"/>
      </tp>
      <tp t="s">
        <v>#N/A N/A</v>
        <stp/>
        <stp>BDP|11449520654984439807</stp>
        <tr r="C146" s="2"/>
      </tp>
      <tp t="s">
        <v>#N/A N/A</v>
        <stp/>
        <stp>BDP|13803922511990878654</stp>
        <tr r="I161" s="2"/>
      </tp>
      <tp t="s">
        <v>#N/A Requesting Data...3427076712</v>
        <stp/>
        <stp>BDP|12068924794427183811</stp>
        <tr r="X149" s="2"/>
      </tp>
      <tp t="s">
        <v>#N/A N/A</v>
        <stp/>
        <stp>BDP|12765885274867857751</stp>
        <tr r="B36" s="2"/>
      </tp>
      <tp t="s">
        <v>#N/A N/A</v>
        <stp/>
        <stp>BDP|16848565056698716398</stp>
        <tr r="F86" s="2"/>
      </tp>
      <tp t="s">
        <v>#N/A Requesting Data...4054700970</v>
        <stp/>
        <stp>BDP|11358813270785189655</stp>
        <tr r="X31" s="2"/>
      </tp>
      <tp t="s">
        <v>#N/A Requesting Data...3206480933</v>
        <stp/>
        <stp>BDP|10070354109278346693</stp>
        <tr r="K70" s="2"/>
      </tp>
      <tp t="s">
        <v>#N/A Requesting Data...4252414174</v>
        <stp/>
        <stp>BDP|11808525214104799306</stp>
        <tr r="Y12" s="2"/>
      </tp>
      <tp t="s">
        <v>#N/A Requesting Data...3744382622</v>
        <stp/>
        <stp>BDP|13697510054651948032</stp>
        <tr r="N36" s="2"/>
      </tp>
      <tp t="s">
        <v>#N/A Requesting Data...4132416555</v>
        <stp/>
        <stp>BDP|11908519936074653113</stp>
        <tr r="T100" s="2"/>
      </tp>
      <tp t="s">
        <v>#N/A Requesting Data...4201391560</v>
        <stp/>
        <stp>BDP|11322446815240976622</stp>
        <tr r="Q7" s="2"/>
      </tp>
      <tp t="s">
        <v>#N/A N/A</v>
        <stp/>
        <stp>BDP|16374552926481177287</stp>
        <tr r="D99" s="2"/>
      </tp>
      <tp t="s">
        <v>#N/A Requesting Data...3533414824</v>
        <stp/>
        <stp>BDP|17951970713369172456</stp>
        <tr r="J155" s="2"/>
      </tp>
      <tp t="s">
        <v>#N/A N/A</v>
        <stp/>
        <stp>BDP|10722177037390863078</stp>
        <tr r="C19" s="2"/>
      </tp>
      <tp t="s">
        <v>#N/A Requesting Data...4024658237</v>
        <stp/>
        <stp>BDP|14328793961186393101</stp>
        <tr r="P90" s="2"/>
      </tp>
      <tp t="s">
        <v>#N/A Requesting Data...3646368344</v>
        <stp/>
        <stp>BDP|12593315138934766430</stp>
        <tr r="N91" s="2"/>
      </tp>
      <tp t="s">
        <v>#N/A Requesting Data...3593964304</v>
        <stp/>
        <stp>BDP|11441732445283908335</stp>
        <tr r="N163" s="2"/>
      </tp>
      <tp t="s">
        <v>#N/A Requesting Data...3418347812</v>
        <stp/>
        <stp>BDP|14511863490897993023</stp>
        <tr r="O87" s="2"/>
      </tp>
      <tp t="s">
        <v>#N/A Requesting Data...3711306211</v>
        <stp/>
        <stp>BDP|10230921389115467653</stp>
        <tr r="K62" s="2"/>
      </tp>
      <tp t="s">
        <v>#N/A Requesting Data...3220238939</v>
        <stp/>
        <stp>BDP|14492479374167820249</stp>
        <tr r="G118" s="2"/>
      </tp>
      <tp t="s">
        <v>#N/A N/A</v>
        <stp/>
        <stp>BDP|11739679217434971056</stp>
        <tr r="C132" s="2"/>
      </tp>
      <tp t="s">
        <v>#N/A Requesting Data...3975364303</v>
        <stp/>
        <stp>BDP|15871436862817032229</stp>
        <tr r="Q128" s="2"/>
      </tp>
      <tp t="s">
        <v>#N/A Requesting Data...3591481586</v>
        <stp/>
        <stp>BDP|10560999068628780582</stp>
        <tr r="K47" s="2"/>
      </tp>
      <tp t="s">
        <v>#N/A Requesting Data...3195191636</v>
        <stp/>
        <stp>BDP|16774676665755670183</stp>
        <tr r="O26" s="2"/>
      </tp>
      <tp t="s">
        <v>#N/A Requesting Data...4289748456</v>
        <stp/>
        <stp>BDP|12074881935008174370</stp>
        <tr r="X121" s="2"/>
      </tp>
      <tp t="s">
        <v>#N/A Requesting Data...4175853745</v>
        <stp/>
        <stp>BDP|11990955390853521021</stp>
        <tr r="O46" s="2"/>
      </tp>
      <tp t="s">
        <v>#N/A Requesting Data...3230177998</v>
        <stp/>
        <stp>BDP|12868239243111393702</stp>
        <tr r="J92" s="2"/>
      </tp>
      <tp t="s">
        <v>#N/A N/A</v>
        <stp/>
        <stp>BDP|15250388707580273454</stp>
        <tr r="C35" s="2"/>
      </tp>
      <tp t="s">
        <v>#N/A Requesting Data...3964575133</v>
        <stp/>
        <stp>BDP|13075905376656888945</stp>
        <tr r="J144" s="2"/>
      </tp>
      <tp t="s">
        <v>#N/A N/A</v>
        <stp/>
        <stp>BDP|11402091327063766278</stp>
        <tr r="C86" s="2"/>
      </tp>
      <tp t="s">
        <v>#N/A N/A</v>
        <stp/>
        <stp>BDP|17989918069863249991</stp>
        <tr r="F129" s="2"/>
      </tp>
      <tp t="s">
        <v>#N/A Requesting Data...3918265730</v>
        <stp/>
        <stp>BDP|11551354915736982762</stp>
        <tr r="Y140" s="2"/>
      </tp>
      <tp t="s">
        <v>#N/A Requesting Data...4010287856</v>
        <stp/>
        <stp>BDP|11234361423770801256</stp>
        <tr r="N160" s="2"/>
      </tp>
      <tp t="s">
        <v>#N/A Requesting Data...3443582345</v>
        <stp/>
        <stp>BDP|11447449679696012641</stp>
        <tr r="Y152" s="2"/>
      </tp>
      <tp t="s">
        <v>#N/A Requesting Data...4061652520</v>
        <stp/>
        <stp>BDP|15119677228351455279</stp>
        <tr r="T54" s="2"/>
      </tp>
      <tp t="s">
        <v>#N/A Requesting Data...3718870900</v>
        <stp/>
        <stp>BDP|11074260642026994307</stp>
        <tr r="G95" s="2"/>
      </tp>
      <tp t="s">
        <v>#N/A Requesting Data...4048507931</v>
        <stp/>
        <stp>BDP|16879520577364587254</stp>
        <tr r="S68" s="2"/>
      </tp>
      <tp t="s">
        <v>#N/A Requesting Data...3690159276</v>
        <stp/>
        <stp>BDP|12509489343301109126</stp>
        <tr r="Q124" s="2"/>
      </tp>
      <tp t="s">
        <v>#N/A Requesting Data...3652594907</v>
        <stp/>
        <stp>BDP|10302112868734601115</stp>
        <tr r="K37" s="2"/>
      </tp>
      <tp t="s">
        <v>#N/A Requesting Data...3914794188</v>
        <stp/>
        <stp>BDP|11802369212614280529</stp>
        <tr r="X143" s="2"/>
      </tp>
      <tp t="s">
        <v>#N/A Requesting Data...4088070356</v>
        <stp/>
        <stp>BDP|18273950154642871474</stp>
        <tr r="Y146" s="2"/>
      </tp>
      <tp t="s">
        <v>#N/A Requesting Data...3937081077</v>
        <stp/>
        <stp>BDP|18158673890403830623</stp>
        <tr r="Q30" s="2"/>
      </tp>
      <tp t="s">
        <v>#N/A Requesting Data...3627589541</v>
        <stp/>
        <stp>BDP|10771253219198754907</stp>
        <tr r="K111" s="2"/>
      </tp>
      <tp t="s">
        <v>#N/A Requesting Data...3918854558</v>
        <stp/>
        <stp>BDP|13290813289213555238</stp>
        <tr r="J149" s="2"/>
      </tp>
      <tp t="s">
        <v>#N/A Requesting Data...3541204023</v>
        <stp/>
        <stp>BDP|16306198272911214358</stp>
        <tr r="N4" s="2"/>
      </tp>
      <tp t="s">
        <v>#N/A Requesting Data...3684925844</v>
        <stp/>
        <stp>BDP|12523368245721174684</stp>
        <tr r="N18" s="2"/>
      </tp>
      <tp t="s">
        <v>#N/A Requesting Data...3375525192</v>
        <stp/>
        <stp>BDP|13330563917954919145</stp>
        <tr r="Q85" s="2"/>
      </tp>
      <tp t="s">
        <v>#N/A Requesting Data...4040539606</v>
        <stp/>
        <stp>BDP|11984313760074011278</stp>
        <tr r="G122" s="2"/>
      </tp>
      <tp t="s">
        <v>#N/A Requesting Data...4207764941</v>
        <stp/>
        <stp>BDP|16936640093923588845</stp>
        <tr r="Q32" s="2"/>
      </tp>
      <tp t="s">
        <v>#N/A Requesting Data...3989423085</v>
        <stp/>
        <stp>BDP|15537275965990193393</stp>
        <tr r="T107" s="2"/>
      </tp>
      <tp t="s">
        <v>#N/A Requesting Data...3727962170</v>
        <stp/>
        <stp>BDP|11207716973616687583</stp>
        <tr r="Q67" s="2"/>
      </tp>
      <tp t="s">
        <v>#N/A N/A</v>
        <stp/>
        <stp>BDP|13209899799684409480</stp>
        <tr r="D84" s="2"/>
      </tp>
      <tp t="s">
        <v>#N/A N/A</v>
        <stp/>
        <stp>BDP|15423502989872389803</stp>
        <tr r="F148" s="2"/>
      </tp>
      <tp t="s">
        <v>#N/A Requesting Data...3274241764</v>
        <stp/>
        <stp>BDP|14452517697283443983</stp>
        <tr r="G152" s="2"/>
      </tp>
      <tp t="s">
        <v>#N/A Requesting Data...3316798039</v>
        <stp/>
        <stp>BDP|15180995339605338832</stp>
        <tr r="G22" s="2"/>
      </tp>
      <tp t="s">
        <v>#N/A Requesting Data...3341531476</v>
        <stp/>
        <stp>BDP|15373639023450123332</stp>
        <tr r="J22" s="2"/>
      </tp>
      <tp t="s">
        <v>#N/A N/A</v>
        <stp/>
        <stp>BDP|10013272884969527170</stp>
        <tr r="D24" s="2"/>
      </tp>
      <tp t="s">
        <v>#N/A Requesting Data...3672056390</v>
        <stp/>
        <stp>BDP|10512106748943914453</stp>
        <tr r="J65" s="2"/>
      </tp>
      <tp t="s">
        <v>#N/A Requesting Data...3660106126</v>
        <stp/>
        <stp>BDP|18365325093594599463</stp>
        <tr r="G80" s="2"/>
      </tp>
      <tp t="s">
        <v>#N/A N/A</v>
        <stp/>
        <stp>BDP|10648145865007261244</stp>
        <tr r="D104" s="2"/>
      </tp>
      <tp t="s">
        <v>#N/A N/A</v>
        <stp/>
        <stp>BDP|10184764991234390847</stp>
        <tr r="F24" s="2"/>
      </tp>
      <tp t="s">
        <v>#N/A Requesting Data...3399642190</v>
        <stp/>
        <stp>BDP|16021631715640699301</stp>
        <tr r="O91" s="2"/>
      </tp>
      <tp t="s">
        <v>#N/A N/A</v>
        <stp/>
        <stp>BDP|16258048903540725426</stp>
        <tr r="I129" s="2"/>
      </tp>
      <tp t="s">
        <v>#N/A Requesting Data...3415204288</v>
        <stp/>
        <stp>BDP|12003711407983312459</stp>
        <tr r="K152" s="2"/>
      </tp>
      <tp t="s">
        <v>#N/A Requesting Data...3705751299</v>
        <stp/>
        <stp>BDP|17907644320087438693</stp>
        <tr r="Q147" s="2"/>
      </tp>
      <tp t="s">
        <v>#N/A N/A</v>
        <stp/>
        <stp>BDP|12303744999057467993</stp>
        <tr r="I29" s="2"/>
      </tp>
      <tp t="s">
        <v>#N/A Requesting Data...3736432060</v>
        <stp/>
        <stp>BDP|12299659409243818555</stp>
        <tr r="S121" s="2"/>
      </tp>
      <tp t="s">
        <v>#N/A Requesting Data...3821767878</v>
        <stp/>
        <stp>BDP|12914457657356017782</stp>
        <tr r="P161" s="2"/>
      </tp>
      <tp t="s">
        <v>#N/A N/A</v>
        <stp/>
        <stp>BDP|14176428261814323021</stp>
        <tr r="I61" s="2"/>
      </tp>
      <tp t="s">
        <v>#N/A Requesting Data...4287465842</v>
        <stp/>
        <stp>BDP|11026150026419378929</stp>
        <tr r="Q162" s="2"/>
      </tp>
      <tp t="s">
        <v>#N/A Requesting Data...3240620395</v>
        <stp/>
        <stp>BDP|10359366506843524245</stp>
        <tr r="K90" s="2"/>
      </tp>
      <tp t="s">
        <v>#N/A N/A</v>
        <stp/>
        <stp>BDP|12712459635190490713</stp>
        <tr r="I152" s="2"/>
      </tp>
      <tp t="s">
        <v>#N/A N/A</v>
        <stp/>
        <stp>BDP|14335349232690665619</stp>
        <tr r="C160" s="2"/>
      </tp>
      <tp t="s">
        <v>#N/A Requesting Data...4049433103</v>
        <stp/>
        <stp>BDP|14358132940495326615</stp>
        <tr r="T152" s="2"/>
      </tp>
      <tp t="s">
        <v>#N/A Requesting Data...3390805245</v>
        <stp/>
        <stp>BDP|11284754778575857658</stp>
        <tr r="Y113" s="2"/>
      </tp>
      <tp t="s">
        <v>#N/A Requesting Data...3578214956</v>
        <stp/>
        <stp>BDP|15086736714266437764</stp>
        <tr r="K130" s="2"/>
      </tp>
      <tp t="s">
        <v>#N/A Requesting Data...3506189516</v>
        <stp/>
        <stp>BDP|15192438544895398207</stp>
        <tr r="T30" s="2"/>
      </tp>
      <tp t="s">
        <v>#N/A Requesting Data...3395764090</v>
        <stp/>
        <stp>BDP|15457429803276820588</stp>
        <tr r="N156" s="2"/>
      </tp>
      <tp t="s">
        <v>#N/A Requesting Data...3857133356</v>
        <stp/>
        <stp>BDP|10204713841457538620</stp>
        <tr r="S105" s="2"/>
      </tp>
      <tp t="s">
        <v>#N/A Requesting Data...4029385394</v>
        <stp/>
        <stp>BDP|17387174565814427618</stp>
        <tr r="O110" s="2"/>
      </tp>
      <tp t="s">
        <v>#N/A Requesting Data...4152735016</v>
        <stp/>
        <stp>BDP|16486979056500350821</stp>
        <tr r="K10" s="2"/>
      </tp>
      <tp t="s">
        <v>#N/A Requesting Data...3745491084</v>
        <stp/>
        <stp>BDP|11792410123136698341</stp>
        <tr r="N103" s="2"/>
      </tp>
      <tp t="s">
        <v>#N/A Requesting Data...3425812601</v>
        <stp/>
        <stp>BDP|15632431205647101461</stp>
        <tr r="Y124" s="2"/>
      </tp>
      <tp t="s">
        <v>#N/A Requesting Data...3434046666</v>
        <stp/>
        <stp>BDP|15447460962283589635</stp>
        <tr r="Q103" s="2"/>
      </tp>
      <tp t="s">
        <v>#N/A N/A</v>
        <stp/>
        <stp>BDP|10468139611590690269</stp>
        <tr r="B100" s="2"/>
      </tp>
      <tp t="s">
        <v>#N/A N/A</v>
        <stp/>
        <stp>BDP|11190149745950268640</stp>
        <tr r="B78" s="2"/>
      </tp>
      <tp t="s">
        <v>#N/A N/A</v>
        <stp/>
        <stp>BDP|14892103758146346450</stp>
        <tr r="I105" s="2"/>
      </tp>
      <tp t="s">
        <v>#N/A N/A</v>
        <stp/>
        <stp>BDP|17477831446850555929</stp>
        <tr r="C163" s="2"/>
      </tp>
      <tp t="s">
        <v>#N/A Requesting Data...3266596375</v>
        <stp/>
        <stp>BDP|10107535460578263961</stp>
        <tr r="P44" s="2"/>
      </tp>
      <tp t="s">
        <v>#N/A N/A</v>
        <stp/>
        <stp>BDP|15740656865312927585</stp>
        <tr r="I34" s="2"/>
      </tp>
      <tp t="s">
        <v>#N/A Requesting Data...3605993446</v>
        <stp/>
        <stp>BDP|11026172467533275744</stp>
        <tr r="N2" s="2"/>
      </tp>
      <tp t="s">
        <v>#N/A Requesting Data...4249865745</v>
        <stp/>
        <stp>BDP|11561363500290229071</stp>
        <tr r="T141" s="2"/>
      </tp>
      <tp t="s">
        <v>#N/A N/A</v>
        <stp/>
        <stp>BDP|11131701341075714517</stp>
        <tr r="C52" s="2"/>
      </tp>
      <tp t="s">
        <v>#N/A Requesting Data...3570395028</v>
        <stp/>
        <stp>BDP|10849307723452083021</stp>
        <tr r="G59" s="2"/>
      </tp>
      <tp t="s">
        <v>#N/A N/A</v>
        <stp/>
        <stp>BDP|13356935654084494894</stp>
        <tr r="D152" s="2"/>
      </tp>
      <tp t="s">
        <v>#N/A Requesting Data...3845045034</v>
        <stp/>
        <stp>BDP|13741603563411969146</stp>
        <tr r="K69" s="2"/>
      </tp>
      <tp t="s">
        <v>#N/A N/A</v>
        <stp/>
        <stp>BDP|15974156246452531161</stp>
        <tr r="B94" s="2"/>
      </tp>
      <tp t="s">
        <v>#N/A N/A</v>
        <stp/>
        <stp>BDP|13835067862150692638</stp>
        <tr r="D81" s="2"/>
      </tp>
      <tp t="s">
        <v>#N/A Requesting Data...3366783857</v>
        <stp/>
        <stp>BDP|15481810683876689081</stp>
        <tr r="Y72" s="2"/>
      </tp>
      <tp t="s">
        <v>#N/A Requesting Data...3293148582</v>
        <stp/>
        <stp>BDP|14738458239537033735</stp>
        <tr r="Y143" s="2"/>
      </tp>
      <tp t="s">
        <v>#N/A Requesting Data...3312380160</v>
        <stp/>
        <stp>BDP|14093087953745477773</stp>
        <tr r="S125" s="2"/>
      </tp>
      <tp t="s">
        <v>#N/A N/A</v>
        <stp/>
        <stp>BDP|15260346459486536624</stp>
        <tr r="F64" s="2"/>
      </tp>
      <tp t="s">
        <v>#N/A N/A</v>
        <stp/>
        <stp>BDP|14477001218253206563</stp>
        <tr r="I111" s="2"/>
      </tp>
      <tp t="s">
        <v>#N/A N/A</v>
        <stp/>
        <stp>BDP|10858006006373731024</stp>
        <tr r="I16" s="2"/>
      </tp>
      <tp t="s">
        <v>#N/A Requesting Data...3831267603</v>
        <stp/>
        <stp>BDP|11303253755762947717</stp>
        <tr r="P143" s="2"/>
      </tp>
      <tp t="s">
        <v>#N/A Requesting Data...3837418176</v>
        <stp/>
        <stp>BDP|15800279914535496041</stp>
        <tr r="G71" s="2"/>
      </tp>
      <tp t="s">
        <v>#N/A N/A</v>
        <stp/>
        <stp>BDP|17542393406505747262</stp>
        <tr r="C70" s="2"/>
      </tp>
      <tp t="s">
        <v>#N/A Requesting Data...4203114727</v>
        <stp/>
        <stp>BDP|16625338789586132877</stp>
        <tr r="S72" s="2"/>
      </tp>
      <tp t="s">
        <v>#N/A Requesting Data...3364173643</v>
        <stp/>
        <stp>BDP|13602998367187447864</stp>
        <tr r="Q29" s="2"/>
      </tp>
      <tp t="s">
        <v>#N/A Requesting Data...3862402852</v>
        <stp/>
        <stp>BDP|10702635958841268133</stp>
        <tr r="X85" s="2"/>
      </tp>
      <tp t="s">
        <v>#N/A Requesting Data...3329209145</v>
        <stp/>
        <stp>BDP|12233663608253571443</stp>
        <tr r="G130" s="2"/>
      </tp>
      <tp t="s">
        <v>#N/A Requesting Data...3779489517</v>
        <stp/>
        <stp>BDP|16318642532587081797</stp>
        <tr r="X123" s="2"/>
      </tp>
      <tp t="s">
        <v>#N/A Requesting Data...4140057908</v>
        <stp/>
        <stp>BDP|14448318953150973135</stp>
        <tr r="Q16" s="2"/>
      </tp>
      <tp t="s">
        <v>#N/A Requesting Data...3330367656</v>
        <stp/>
        <stp>BDP|17471057624303982505</stp>
        <tr r="S114" s="2"/>
      </tp>
      <tp t="s">
        <v>#N/A Requesting Data...4222289097</v>
        <stp/>
        <stp>BDP|18220716005944830822</stp>
        <tr r="Y69" s="2"/>
      </tp>
      <tp t="s">
        <v>#N/A Requesting Data...3820393242</v>
        <stp/>
        <stp>BDP|13331691234386160334</stp>
        <tr r="K84" s="2"/>
      </tp>
      <tp t="s">
        <v>#N/A Requesting Data...3682548295</v>
        <stp/>
        <stp>BDP|10432183830953692266</stp>
        <tr r="Y40" s="2"/>
      </tp>
      <tp t="s">
        <v>#N/A Requesting Data...4279885087</v>
        <stp/>
        <stp>BDP|17510676762874806075</stp>
        <tr r="Q145" s="2"/>
      </tp>
      <tp t="s">
        <v>#N/A Requesting Data...4103522122</v>
        <stp/>
        <stp>BDP|12507839914268426090</stp>
        <tr r="G163" s="2"/>
      </tp>
      <tp t="s">
        <v>#N/A Requesting Data...3578546475</v>
        <stp/>
        <stp>BDP|15867121717936440062</stp>
        <tr r="N15" s="2"/>
      </tp>
      <tp t="s">
        <v>#N/A Requesting Data...3392657380</v>
        <stp/>
        <stp>BDP|13409750068227499624</stp>
        <tr r="Q52" s="2"/>
      </tp>
      <tp t="s">
        <v>#N/A Requesting Data...3760254014</v>
        <stp/>
        <stp>BDP|11429013227850968042</stp>
        <tr r="T156" s="2"/>
      </tp>
      <tp t="s">
        <v>#N/A Requesting Data...4273081962</v>
        <stp/>
        <stp>BDP|14082314034465234286</stp>
        <tr r="T150" s="2"/>
      </tp>
      <tp t="s">
        <v>#N/A N/A</v>
        <stp/>
        <stp>BDP|15324687482490490824</stp>
        <tr r="D105" s="2"/>
      </tp>
      <tp t="s">
        <v>#N/A Requesting Data...3909408188</v>
        <stp/>
        <stp>BDP|16615878988815075063</stp>
        <tr r="S160" s="2"/>
      </tp>
      <tp t="s">
        <v>#N/A N/A</v>
        <stp/>
        <stp>BDP|14275128746367898509</stp>
        <tr r="F163" s="2"/>
      </tp>
      <tp t="s">
        <v>#N/A N/A</v>
        <stp/>
        <stp>BDP|11971747107097050240</stp>
        <tr r="B73" s="2"/>
      </tp>
      <tp t="s">
        <v>#N/A Requesting Data...3765673921</v>
        <stp/>
        <stp>BDP|14014861743743906822</stp>
        <tr r="G4" s="2"/>
      </tp>
      <tp t="s">
        <v>#N/A Requesting Data...4255361471</v>
        <stp/>
        <stp>BDP|15419579651512365400</stp>
        <tr r="P9" s="2"/>
      </tp>
      <tp t="s">
        <v>#N/A N/A</v>
        <stp/>
        <stp>BDP|15090217477377109463</stp>
        <tr r="D73" s="2"/>
      </tp>
      <tp t="s">
        <v>#N/A Requesting Data...3403755119</v>
        <stp/>
        <stp>BDP|13232720995847140953</stp>
        <tr r="T28" s="2"/>
      </tp>
      <tp t="s">
        <v>#N/A Requesting Data...3914374381</v>
        <stp/>
        <stp>BDP|17004030572076978596</stp>
        <tr r="J77" s="2"/>
      </tp>
      <tp t="s">
        <v>#N/A Requesting Data...3752248607</v>
        <stp/>
        <stp>BDP|17617268422990634453</stp>
        <tr r="O90" s="2"/>
      </tp>
      <tp t="s">
        <v>#N/A Requesting Data...3567920193</v>
        <stp/>
        <stp>BDP|13149464716753212621</stp>
        <tr r="O58" s="2"/>
      </tp>
      <tp t="s">
        <v>#N/A Requesting Data...3653411621</v>
        <stp/>
        <stp>BDP|12501160407249216974</stp>
        <tr r="T90" s="2"/>
      </tp>
      <tp t="s">
        <v>#N/A N/A</v>
        <stp/>
        <stp>BDP|15285042128217732392</stp>
        <tr r="B161" s="2"/>
      </tp>
      <tp t="s">
        <v>#N/A Requesting Data...3720103777</v>
        <stp/>
        <stp>BDP|12065559533626329155</stp>
        <tr r="N143" s="2"/>
      </tp>
      <tp t="s">
        <v>#N/A Requesting Data...4135422223</v>
        <stp/>
        <stp>BDP|14597561772157853290</stp>
        <tr r="Q146" s="2"/>
      </tp>
      <tp t="s">
        <v>#N/A Requesting Data...3481675781</v>
        <stp/>
        <stp>BDP|10376109902885548743</stp>
        <tr r="T154" s="2"/>
      </tp>
      <tp t="s">
        <v>#N/A Requesting Data...3585760613</v>
        <stp/>
        <stp>BDP|18436224591457649717</stp>
        <tr r="O113" s="2"/>
      </tp>
      <tp t="s">
        <v>#N/A Requesting Data...3484756235</v>
        <stp/>
        <stp>BDP|16382531512371849090</stp>
        <tr r="G75" s="2"/>
      </tp>
      <tp t="s">
        <v>#N/A Requesting Data...3942942220</v>
        <stp/>
        <stp>BDP|15899704837252807041</stp>
        <tr r="G147" s="2"/>
      </tp>
      <tp t="s">
        <v>#N/A N/A</v>
        <stp/>
        <stp>BDP|15087105465054779519</stp>
        <tr r="C159" s="2"/>
      </tp>
      <tp t="s">
        <v>#N/A Requesting Data...4219201538</v>
        <stp/>
        <stp>BDP|15107634850666859394</stp>
        <tr r="X92" s="2"/>
      </tp>
      <tp t="s">
        <v>#N/A Requesting Data...4076972712</v>
        <stp/>
        <stp>BDP|16595534106399548970</stp>
        <tr r="G15" s="2"/>
      </tp>
      <tp t="s">
        <v>#N/A N/A</v>
        <stp/>
        <stp>BDP|17699993757188891028</stp>
        <tr r="B125" s="2"/>
      </tp>
      <tp t="s">
        <v>#N/A Requesting Data...3545885944</v>
        <stp/>
        <stp>BDP|12597753198579332693</stp>
        <tr r="P155" s="2"/>
      </tp>
      <tp t="s">
        <v>#N/A N/A</v>
        <stp/>
        <stp>BDP|17508202260964379441</stp>
        <tr r="C143" s="2"/>
      </tp>
      <tp t="s">
        <v>#N/A Requesting Data...4196517519</v>
        <stp/>
        <stp>BDP|12087738450774627779</stp>
        <tr r="T6" s="2"/>
      </tp>
      <tp t="s">
        <v>#N/A Requesting Data...4199186876</v>
        <stp/>
        <stp>BDP|13550529071726508418</stp>
        <tr r="X33" s="2"/>
      </tp>
      <tp t="s">
        <v>#N/A N/A</v>
        <stp/>
        <stp>BDP|18295834704057582426</stp>
        <tr r="B109" s="2"/>
      </tp>
      <tp t="s">
        <v>#N/A N/A</v>
        <stp/>
        <stp>BDP|17592727432914056470</stp>
        <tr r="B124" s="2"/>
      </tp>
      <tp t="s">
        <v>#N/A Requesting Data...4210725044</v>
        <stp/>
        <stp>BDP|14701663879597920136</stp>
        <tr r="P140" s="2"/>
      </tp>
      <tp t="s">
        <v>#N/A Requesting Data...3342240520</v>
        <stp/>
        <stp>BDP|15339382562403822036</stp>
        <tr r="P130" s="2"/>
      </tp>
      <tp t="s">
        <v>#N/A N/A</v>
        <stp/>
        <stp>BDP|13665544861882421159</stp>
        <tr r="I64" s="2"/>
      </tp>
      <tp t="s">
        <v>#N/A N/A</v>
        <stp/>
        <stp>BDP|10151722517693432622</stp>
        <tr r="I93" s="2"/>
      </tp>
      <tp t="s">
        <v>#N/A Requesting Data...3654842361</v>
        <stp/>
        <stp>BDP|10143022153774039259</stp>
        <tr r="X112" s="2"/>
      </tp>
      <tp t="s">
        <v>#N/A Requesting Data...3652052267</v>
        <stp/>
        <stp>BDP|10303873434438151049</stp>
        <tr r="G44" s="2"/>
      </tp>
      <tp t="s">
        <v>#N/A Requesting Data...3634122538</v>
        <stp/>
        <stp>BDP|17506458421145627720</stp>
        <tr r="P129" s="2"/>
      </tp>
      <tp t="s">
        <v>#N/A N/A</v>
        <stp/>
        <stp>BDP|13848304609935273667</stp>
        <tr r="D58" s="2"/>
      </tp>
      <tp t="s">
        <v>#N/A Requesting Data...3954110681</v>
        <stp/>
        <stp>BDP|17913811726989821739</stp>
        <tr r="X11" s="2"/>
      </tp>
      <tp t="s">
        <v>#N/A Requesting Data...3935612620</v>
        <stp/>
        <stp>BDP|18330658530178664642</stp>
        <tr r="S80" s="2"/>
      </tp>
      <tp t="s">
        <v>#N/A Requesting Data...3964415178</v>
        <stp/>
        <stp>BDP|12178633730206353251</stp>
        <tr r="J161" s="2"/>
      </tp>
      <tp t="s">
        <v>#N/A N/A</v>
        <stp/>
        <stp>BDP|10463450796326519866</stp>
        <tr r="D66" s="2"/>
      </tp>
      <tp t="s">
        <v>#N/A Requesting Data...4279160633</v>
        <stp/>
        <stp>BDP|17018711251496106054</stp>
        <tr r="J147" s="2"/>
      </tp>
      <tp t="s">
        <v>#N/A Requesting Data...3912017161</v>
        <stp/>
        <stp>BDP|15208426595109972287</stp>
        <tr r="G151" s="2"/>
      </tp>
      <tp t="s">
        <v>#N/A N/A</v>
        <stp/>
        <stp>BDP|18388525633614241948</stp>
        <tr r="I81" s="2"/>
      </tp>
      <tp t="s">
        <v>#N/A Requesting Data...4005128391</v>
        <stp/>
        <stp>BDP|14042427556786831083</stp>
        <tr r="G145" s="2"/>
      </tp>
      <tp t="s">
        <v>#N/A Requesting Data...3903864927</v>
        <stp/>
        <stp>BDP|13272555533306101028</stp>
        <tr r="G162" s="2"/>
      </tp>
      <tp t="s">
        <v>#N/A Requesting Data...3915853244</v>
        <stp/>
        <stp>BDP|12847607264045359489</stp>
        <tr r="Q89" s="2"/>
      </tp>
      <tp t="s">
        <v>#N/A N/A</v>
        <stp/>
        <stp>BDP|14759841450138534218</stp>
        <tr r="C61" s="2"/>
      </tp>
      <tp t="s">
        <v>#N/A Requesting Data...4110934639</v>
        <stp/>
        <stp>BDP|17992013167682172099</stp>
        <tr r="Y35" s="2"/>
      </tp>
      <tp t="s">
        <v>#N/A Requesting Data...3980001432</v>
        <stp/>
        <stp>BDP|10138367950243120616</stp>
        <tr r="Y128" s="2"/>
      </tp>
      <tp t="s">
        <v>#N/A Requesting Data...3549733995</v>
        <stp/>
        <stp>BDP|16441744651013491428</stp>
        <tr r="K117" s="2"/>
      </tp>
      <tp t="s">
        <v>#N/A Requesting Data...3895863765</v>
        <stp/>
        <stp>BDP|17757628154220113765</stp>
        <tr r="S157" s="2"/>
      </tp>
      <tp t="s">
        <v>#N/A Requesting Data...3455301760</v>
        <stp/>
        <stp>BDP|16420713519517985436</stp>
        <tr r="J139" s="2"/>
      </tp>
      <tp t="s">
        <v>#N/A Requesting Data...4189510470</v>
        <stp/>
        <stp>BDP|11366834481334177662</stp>
        <tr r="J142" s="2"/>
      </tp>
      <tp t="s">
        <v>#N/A N/A</v>
        <stp/>
        <stp>BDP|16164313069995984696</stp>
        <tr r="B24" s="2"/>
      </tp>
      <tp t="s">
        <v>#N/A Requesting Data...4291157619</v>
        <stp/>
        <stp>BDP|16839038466757656728</stp>
        <tr r="K7" s="2"/>
      </tp>
      <tp t="s">
        <v>#N/A Requesting Data...3708998318</v>
        <stp/>
        <stp>BDP|11711665531201099584</stp>
        <tr r="Y30" s="2"/>
      </tp>
      <tp t="s">
        <v>#N/A Requesting Data...3880459912</v>
        <stp/>
        <stp>BDP|10995832162489661763</stp>
        <tr r="O79" s="2"/>
      </tp>
      <tp t="s">
        <v>#N/A Requesting Data...3926661379</v>
        <stp/>
        <stp>BDP|16826937211209287705</stp>
        <tr r="K9" s="2"/>
      </tp>
      <tp t="s">
        <v>#N/A Requesting Data...4109946717</v>
        <stp/>
        <stp>BDP|15039197916823668615</stp>
        <tr r="Q75" s="2"/>
      </tp>
      <tp t="s">
        <v>#N/A Requesting Data...3419104997</v>
        <stp/>
        <stp>BDP|17928251951687064750</stp>
        <tr r="T67" s="2"/>
      </tp>
      <tp t="s">
        <v>#N/A N/A</v>
        <stp/>
        <stp>BDP|11211863453245901961</stp>
        <tr r="I2" s="2"/>
      </tp>
      <tp t="s">
        <v>#N/A N/A</v>
        <stp/>
        <stp>BDP|11908223027662314374</stp>
        <tr r="F90" s="2"/>
      </tp>
      <tp t="s">
        <v>#N/A Requesting Data...4212374038</v>
        <stp/>
        <stp>BDP|10849567604060415566</stp>
        <tr r="S65" s="2"/>
      </tp>
      <tp t="s">
        <v>#N/A N/A</v>
        <stp/>
        <stp>BDP|11523776139744338104</stp>
        <tr r="D96" s="2"/>
      </tp>
      <tp t="s">
        <v>#N/A Requesting Data...3526157992</v>
        <stp/>
        <stp>BDP|10185615894336765984</stp>
        <tr r="X69" s="2"/>
      </tp>
      <tp t="s">
        <v>#N/A Requesting Data...3381860762</v>
        <stp/>
        <stp>BDP|11289849528049559208</stp>
        <tr r="T7" s="2"/>
      </tp>
      <tp t="s">
        <v>#N/A Requesting Data...3963343664</v>
        <stp/>
        <stp>BDP|17627531089143569927</stp>
        <tr r="O72" s="2"/>
      </tp>
      <tp t="s">
        <v>#N/A Requesting Data...3883898157</v>
        <stp/>
        <stp>BDP|13132194264141529526</stp>
        <tr r="X133" s="2"/>
      </tp>
      <tp t="s">
        <v>#N/A Requesting Data...3740999520</v>
        <stp/>
        <stp>BDP|15272434260615995223</stp>
        <tr r="X66" s="2"/>
      </tp>
      <tp t="s">
        <v>#N/A Requesting Data...3409109582</v>
        <stp/>
        <stp>BDP|11977169231792396173</stp>
        <tr r="S106" s="2"/>
      </tp>
      <tp t="s">
        <v>#N/A N/A</v>
        <stp/>
        <stp>BDP|13488744063175856719</stp>
        <tr r="I83" s="2"/>
      </tp>
      <tp t="s">
        <v>#N/A Requesting Data...4033779681</v>
        <stp/>
        <stp>BDP|14690505353645720189</stp>
        <tr r="J114" s="2"/>
      </tp>
      <tp t="s">
        <v>#N/A N/A</v>
        <stp/>
        <stp>BDP|13357759758836016742</stp>
        <tr r="B122" s="2"/>
      </tp>
      <tp t="s">
        <v>#N/A Requesting Data...4158629883</v>
        <stp/>
        <stp>BDP|12147611630377871027</stp>
        <tr r="O130" s="2"/>
      </tp>
      <tp t="s">
        <v>#N/A N/A</v>
        <stp/>
        <stp>BDP|13297111169723064771</stp>
        <tr r="B143" s="2"/>
      </tp>
      <tp t="s">
        <v>#N/A Requesting Data...3889289516</v>
        <stp/>
        <stp>BDP|13878879503172387929</stp>
        <tr r="S92" s="2"/>
      </tp>
      <tp t="s">
        <v>#N/A Requesting Data...3481981229</v>
        <stp/>
        <stp>BDP|17335638159805783139</stp>
        <tr r="Q134" s="2"/>
      </tp>
      <tp t="s">
        <v>#N/A Requesting Data...4118211357</v>
        <stp/>
        <stp>BDP|13941114685843319922</stp>
        <tr r="K66" s="2"/>
      </tp>
      <tp t="s">
        <v>#N/A Requesting Data...3962633273</v>
        <stp/>
        <stp>BDP|13251728104417967316</stp>
        <tr r="P100" s="2"/>
      </tp>
      <tp t="s">
        <v>#N/A Requesting Data...3993926315</v>
        <stp/>
        <stp>BDP|13980382217295214487</stp>
        <tr r="O92" s="2"/>
      </tp>
      <tp t="s">
        <v>#N/A Requesting Data...4167885869</v>
        <stp/>
        <stp>BDP|16139759714543457386</stp>
        <tr r="O47" s="2"/>
      </tp>
      <tp t="s">
        <v>#N/A Requesting Data...4268070417</v>
        <stp/>
        <stp>BDP|11009700317366381189</stp>
        <tr r="Q90" s="2"/>
      </tp>
      <tp t="s">
        <v>#N/A N/A</v>
        <stp/>
        <stp>BDP|17559799971543891492</stp>
        <tr r="C99" s="2"/>
      </tp>
      <tp t="s">
        <v>#N/A Requesting Data...3581758444</v>
        <stp/>
        <stp>BDP|15056304683328971664</stp>
        <tr r="P34" s="2"/>
      </tp>
      <tp t="s">
        <v>#N/A N/A</v>
        <stp/>
        <stp>BDP|14309106859110116070</stp>
        <tr r="C80" s="2"/>
      </tp>
      <tp t="s">
        <v>#N/A Requesting Data...3660977929</v>
        <stp/>
        <stp>BDP|16632490916222639109</stp>
        <tr r="Y110" s="2"/>
      </tp>
      <tp t="s">
        <v>#N/A Requesting Data...3435285971</v>
        <stp/>
        <stp>BDP|13360056442317288094</stp>
        <tr r="G21" s="2"/>
      </tp>
      <tp t="s">
        <v>#N/A N/A</v>
        <stp/>
        <stp>BDP|11080566749307278726</stp>
        <tr r="I28" s="2"/>
      </tp>
      <tp t="s">
        <v>#N/A Requesting Data...3774937437</v>
        <stp/>
        <stp>BDP|15860556500984433469</stp>
        <tr r="O147" s="2"/>
      </tp>
      <tp t="s">
        <v>#N/A N/A</v>
        <stp/>
        <stp>BDP|10948114201396219742</stp>
        <tr r="C62" s="2"/>
      </tp>
      <tp t="s">
        <v>#N/A Requesting Data...3776083158</v>
        <stp/>
        <stp>BDP|13145062705515837650</stp>
        <tr r="Y31" s="2"/>
      </tp>
      <tp t="s">
        <v>#N/A Requesting Data...3449569371</v>
        <stp/>
        <stp>BDP|13871576501375005312</stp>
        <tr r="J48" s="2"/>
      </tp>
      <tp t="s">
        <v>#N/A Requesting Data...4294050194</v>
        <stp/>
        <stp>BDP|11065663903241313690</stp>
        <tr r="N106" s="2"/>
      </tp>
      <tp t="s">
        <v>#N/A Requesting Data...4115057355</v>
        <stp/>
        <stp>BDP|17233542460623860717</stp>
        <tr r="X98" s="2"/>
      </tp>
      <tp t="s">
        <v>#N/A Requesting Data...3592778598</v>
        <stp/>
        <stp>BDP|16156487476900968599</stp>
        <tr r="G10" s="2"/>
      </tp>
      <tp t="s">
        <v>#N/A Requesting Data...3594826044</v>
        <stp/>
        <stp>BDP|14161882382326244288</stp>
        <tr r="O2" s="2"/>
      </tp>
      <tp t="s">
        <v>#N/A Requesting Data...4110125611</v>
        <stp/>
        <stp>BDP|15710381167842104282</stp>
        <tr r="X24" s="2"/>
      </tp>
      <tp t="s">
        <v>#N/A Requesting Data...3968753742</v>
        <stp/>
        <stp>BDP|16198135373321741172</stp>
        <tr r="J99" s="2"/>
      </tp>
      <tp t="s">
        <v>#N/A Requesting Data...3642381684</v>
        <stp/>
        <stp>BDP|15474909882094108066</stp>
        <tr r="O77" s="2"/>
      </tp>
      <tp t="s">
        <v>#N/A Requesting Data...3851074267</v>
        <stp/>
        <stp>BDP|14438522056370788465</stp>
        <tr r="X27" s="2"/>
      </tp>
      <tp t="s">
        <v>#N/A N/A</v>
        <stp/>
        <stp>BDP|16822075349463191167</stp>
        <tr r="B114" s="2"/>
      </tp>
      <tp t="s">
        <v>#N/A Requesting Data...3718854888</v>
        <stp/>
        <stp>BDP|14776445920983208108</stp>
        <tr r="O133" s="2"/>
      </tp>
      <tp t="s">
        <v>#N/A Requesting Data...3758078874</v>
        <stp/>
        <stp>BDP|10790239174584656170</stp>
        <tr r="S52" s="2"/>
      </tp>
      <tp t="s">
        <v>#N/A Requesting Data...4003730050</v>
        <stp/>
        <stp>BDP|16484288430484426396</stp>
        <tr r="O10" s="2"/>
      </tp>
      <tp t="s">
        <v>#N/A Requesting Data...3656162258</v>
        <stp/>
        <stp>BDP|17059967960230706805</stp>
        <tr r="P39" s="2"/>
      </tp>
      <tp t="s">
        <v>#N/A N/A</v>
        <stp/>
        <stp>BDP|11082777081597470926</stp>
        <tr r="D22" s="2"/>
      </tp>
      <tp t="s">
        <v>#N/A Requesting Data...3906454009</v>
        <stp/>
        <stp>BDP|16691551812602262033</stp>
        <tr r="K44" s="2"/>
      </tp>
      <tp t="s">
        <v>#N/A Requesting Data...4270130144</v>
        <stp/>
        <stp>BDP|14683926804575992898</stp>
        <tr r="Y141" s="2"/>
      </tp>
      <tp t="s">
        <v>#N/A N/A</v>
        <stp/>
        <stp>BDP|17468269303640706566</stp>
        <tr r="F23" s="2"/>
      </tp>
      <tp t="s">
        <v>#N/A N/A</v>
        <stp/>
        <stp>BDP|14499180193899909560</stp>
        <tr r="I44" s="2"/>
      </tp>
      <tp t="s">
        <v>#N/A Requesting Data...3473017442</v>
        <stp/>
        <stp>BDP|13330171603740245255</stp>
        <tr r="Q159" s="2"/>
      </tp>
      <tp t="s">
        <v>#N/A N/A</v>
        <stp/>
        <stp>BDP|13555635844480674179</stp>
        <tr r="F81" s="2"/>
      </tp>
      <tp t="s">
        <v>#N/A Requesting Data...3609381543</v>
        <stp/>
        <stp>BDP|14235444040911146549</stp>
        <tr r="S75" s="2"/>
      </tp>
      <tp t="s">
        <v>#N/A Requesting Data...3966184295</v>
        <stp/>
        <stp>BDP|15766409311915058552</stp>
        <tr r="G78" s="2"/>
      </tp>
      <tp t="s">
        <v>#N/A N/A</v>
        <stp/>
        <stp>BDP|18081001954018499537</stp>
        <tr r="D91" s="2"/>
      </tp>
      <tp t="s">
        <v>#N/A Requesting Data...3541400217</v>
        <stp/>
        <stp>BDP|12171510431494626045</stp>
        <tr r="T72" s="2"/>
      </tp>
      <tp t="s">
        <v>#N/A N/A</v>
        <stp/>
        <stp>BDP|16817020626341895564</stp>
        <tr r="I154" s="2"/>
      </tp>
      <tp t="s">
        <v>#N/A N/A</v>
        <stp/>
        <stp>BDP|16831466330697849647</stp>
        <tr r="C65" s="2"/>
      </tp>
      <tp t="s">
        <v>#N/A N/A</v>
        <stp/>
        <stp>BDP|14392115065812683144</stp>
        <tr r="I7" s="2"/>
      </tp>
      <tp t="s">
        <v>#N/A N/A</v>
        <stp/>
        <stp>BDP|12084815829171959946</stp>
        <tr r="I79" s="2"/>
      </tp>
      <tp t="s">
        <v>#N/A N/A</v>
        <stp/>
        <stp>BDP|13336121371644380161</stp>
        <tr r="C82" s="2"/>
      </tp>
      <tp t="s">
        <v>#N/A Requesting Data...3887257388</v>
        <stp/>
        <stp>BDP|16967098258257985446</stp>
        <tr r="T143" s="2"/>
      </tp>
      <tp t="s">
        <v>#N/A N/A</v>
        <stp/>
        <stp>BDP|16363165852210393201</stp>
        <tr r="C95" s="2"/>
      </tp>
      <tp t="s">
        <v>#N/A Requesting Data...4028638999</v>
        <stp/>
        <stp>BDP|13501958365208810497</stp>
        <tr r="K60" s="2"/>
      </tp>
      <tp t="s">
        <v>#N/A Requesting Data...3662998197</v>
        <stp/>
        <stp>BDP|13692965298363852073</stp>
        <tr r="J61" s="2"/>
      </tp>
      <tp t="s">
        <v>#N/A Requesting Data...4136804111</v>
        <stp/>
        <stp>BDP|18186362725561044853</stp>
        <tr r="G120" s="2"/>
      </tp>
      <tp t="s">
        <v>#N/A Requesting Data...3650802275</v>
        <stp/>
        <stp>BDP|14785578656362768666</stp>
        <tr r="N102" s="2"/>
      </tp>
      <tp t="s">
        <v>#N/A Requesting Data...3799777194</v>
        <stp/>
        <stp>BDP|13001699115715950129</stp>
        <tr r="N90" s="2"/>
      </tp>
      <tp t="s">
        <v>#N/A N/A</v>
        <stp/>
        <stp>BDP|15031206716640177604</stp>
        <tr r="I160" s="2"/>
      </tp>
      <tp t="s">
        <v>#N/A N/A</v>
        <stp/>
        <stp>BDP|11070621365124832580</stp>
        <tr r="I84" s="2"/>
      </tp>
      <tp t="s">
        <v>#N/A Requesting Data...3872853792</v>
        <stp/>
        <stp>BDP|16586240093769384474</stp>
        <tr r="S12" s="2"/>
      </tp>
      <tp t="s">
        <v>#N/A Requesting Data...3484382950</v>
        <stp/>
        <stp>BDP|16868741408186379716</stp>
        <tr r="Y21" s="2"/>
      </tp>
      <tp t="s">
        <v>#N/A Requesting Data...3906298701</v>
        <stp/>
        <stp>BDP|13359095677433268795</stp>
        <tr r="X57" s="2"/>
      </tp>
      <tp t="s">
        <v>#N/A Requesting Data...3645513476</v>
        <stp/>
        <stp>BDP|15566772256854814253</stp>
        <tr r="S127" s="2"/>
      </tp>
      <tp t="s">
        <v>#N/A N/A</v>
        <stp/>
        <stp>BDP|12184765688868015469</stp>
        <tr r="D102" s="2"/>
      </tp>
      <tp t="s">
        <v>#N/A N/A</v>
        <stp/>
        <stp>BDP|10814621430984729048</stp>
        <tr r="D7" s="2"/>
      </tp>
      <tp t="s">
        <v>#N/A Requesting Data...3836293295</v>
        <stp/>
        <stp>BDP|14111706641041839714</stp>
        <tr r="J82" s="2"/>
      </tp>
      <tp t="s">
        <v>#N/A Requesting Data...4122198060</v>
        <stp/>
        <stp>BDP|11533080749826433298</stp>
        <tr r="N79" s="2"/>
      </tp>
      <tp t="s">
        <v>#N/A Requesting Data...4020938379</v>
        <stp/>
        <stp>BDP|13014775328745324257</stp>
        <tr r="G8" s="2"/>
      </tp>
      <tp t="s">
        <v>#N/A Requesting Data...4212544475</v>
        <stp/>
        <stp>BDP|14901635706371380268</stp>
        <tr r="O53" s="2"/>
      </tp>
      <tp t="s">
        <v>#N/A Requesting Data...3635511903</v>
        <stp/>
        <stp>BDP|16933186177881888067</stp>
        <tr r="X48" s="2"/>
      </tp>
      <tp t="s">
        <v>#N/A Requesting Data...4129458506</v>
        <stp/>
        <stp>BDP|15434246683056930827</stp>
        <tr r="N136" s="2"/>
      </tp>
      <tp t="s">
        <v>#N/A Requesting Data...4140622686</v>
        <stp/>
        <stp>BDP|11496165198551477968</stp>
        <tr r="Y132" s="2"/>
      </tp>
      <tp t="s">
        <v>#N/A N/A</v>
        <stp/>
        <stp>BDP|12205986507312416811</stp>
        <tr r="I26" s="2"/>
      </tp>
      <tp t="s">
        <v>#N/A Requesting Data...4213150745</v>
        <stp/>
        <stp>BDP|12385367096079879000</stp>
        <tr r="Y7" s="2"/>
      </tp>
      <tp t="s">
        <v>#N/A Requesting Data...4265428972</v>
        <stp/>
        <stp>BDP|16315175791466800968</stp>
        <tr r="X28" s="2"/>
      </tp>
      <tp t="s">
        <v>#N/A Requesting Data...3896285509</v>
        <stp/>
        <stp>BDP|16364893767158033168</stp>
        <tr r="K33" s="2"/>
      </tp>
      <tp t="s">
        <v>#N/A N/A</v>
        <stp/>
        <stp>BDP|15463004939830257742</stp>
        <tr r="B137" s="2"/>
      </tp>
      <tp t="s">
        <v>#N/A N/A</v>
        <stp/>
        <stp>BDP|11277518661000166384</stp>
        <tr r="D137" s="2"/>
      </tp>
      <tp t="s">
        <v>#N/A Requesting Data...4106043439</v>
        <stp/>
        <stp>BDP|14073648029647292643</stp>
        <tr r="P142" s="2"/>
      </tp>
      <tp t="s">
        <v>#N/A Requesting Data...3744627133</v>
        <stp/>
        <stp>BDP|11708594403440764514</stp>
        <tr r="Y108" s="2"/>
      </tp>
      <tp t="s">
        <v>#N/A Requesting Data...4268752989</v>
        <stp/>
        <stp>BDP|10844779859616884555</stp>
        <tr r="P36" s="2"/>
      </tp>
      <tp t="s">
        <v>#N/A N/A</v>
        <stp/>
        <stp>BDP|15966145385589198437</stp>
        <tr r="C151" s="2"/>
      </tp>
      <tp t="s">
        <v>#N/A Requesting Data...3929542763</v>
        <stp/>
        <stp>BDP|14724844936289843778</stp>
        <tr r="G33" s="2"/>
      </tp>
      <tp t="s">
        <v>#N/A N/A</v>
        <stp/>
        <stp>BDP|17476281117710496550</stp>
        <tr r="B19" s="2"/>
      </tp>
      <tp t="s">
        <v>#N/A Requesting Data...4181273141</v>
        <stp/>
        <stp>BDP|13267601005336477292</stp>
        <tr r="Q87" s="2"/>
      </tp>
      <tp t="s">
        <v>#N/A Requesting Data...4055980629</v>
        <stp/>
        <stp>BDP|18282321411729875246</stp>
        <tr r="S71" s="2"/>
      </tp>
      <tp t="s">
        <v>#N/A N/A</v>
        <stp/>
        <stp>BDP|10778863688899668826</stp>
        <tr r="C130" s="2"/>
      </tp>
      <tp t="s">
        <v>#N/A Requesting Data...3524704430</v>
        <stp/>
        <stp>BDP|13065654150843991210</stp>
        <tr r="N101" s="2"/>
      </tp>
      <tp t="s">
        <v>#N/A Requesting Data...4187376545</v>
        <stp/>
        <stp>BDP|11728564350997587796</stp>
        <tr r="G102" s="2"/>
      </tp>
      <tp t="s">
        <v>#N/A Requesting Data...3959709574</v>
        <stp/>
        <stp>BDP|17329660962880874629</stp>
        <tr r="P88" s="2"/>
      </tp>
      <tp t="s">
        <v>#N/A Requesting Data...3654394461</v>
        <stp/>
        <stp>BDP|10189889980158606939</stp>
        <tr r="Y92" s="2"/>
      </tp>
      <tp t="s">
        <v>#N/A Requesting Data...3839322496</v>
        <stp/>
        <stp>BDP|17592889188261152788</stp>
        <tr r="K36" s="2"/>
      </tp>
      <tp t="s">
        <v>#N/A N/A</v>
        <stp/>
        <stp>BDP|10529773960941802166</stp>
        <tr r="D28" s="2"/>
      </tp>
      <tp t="s">
        <v>#N/A Requesting Data...3846165613</v>
        <stp/>
        <stp>BDP|18100753219419178602</stp>
        <tr r="Y130" s="2"/>
      </tp>
      <tp t="s">
        <v>#N/A Requesting Data...4280072494</v>
        <stp/>
        <stp>BDP|12805631752612508203</stp>
        <tr r="X4" s="2"/>
      </tp>
      <tp t="s">
        <v>#N/A N/A</v>
        <stp/>
        <stp>BDP|11026682970166107767</stp>
        <tr r="I87" s="2"/>
      </tp>
      <tp t="s">
        <v>#N/A Requesting Data...3804163812</v>
        <stp/>
        <stp>BDP|15544081135353361444</stp>
        <tr r="X84" s="2"/>
      </tp>
      <tp t="s">
        <v>#N/A N/A</v>
        <stp/>
        <stp>BDP|15407004798945620844</stp>
        <tr r="B128" s="2"/>
      </tp>
      <tp t="s">
        <v>#N/A N/A</v>
        <stp/>
        <stp>BDP|13136067012776216599</stp>
        <tr r="B84" s="2"/>
      </tp>
      <tp t="s">
        <v>#N/A N/A</v>
        <stp/>
        <stp>BDP|11582634848484949695</stp>
        <tr r="B17" s="2"/>
      </tp>
      <tp t="s">
        <v>#N/A Requesting Data...4169536423</v>
        <stp/>
        <stp>BDP|15703392389108996703</stp>
        <tr r="O97" s="2"/>
      </tp>
      <tp t="s">
        <v>#N/A N/A</v>
        <stp/>
        <stp>BDP|10248127271750980764</stp>
        <tr r="F151" s="2"/>
      </tp>
      <tp t="s">
        <v>#N/A N/A</v>
        <stp/>
        <stp>BDP|16597705300300826033</stp>
        <tr r="B62" s="2"/>
      </tp>
      <tp t="s">
        <v>#N/A Requesting Data...4212612320</v>
        <stp/>
        <stp>BDP|17701223457171428087</stp>
        <tr r="Y78" s="2"/>
      </tp>
      <tp t="s">
        <v>#N/A N/A</v>
        <stp/>
        <stp>BDP|14787870632618472673</stp>
        <tr r="D37" s="2"/>
      </tp>
      <tp t="s">
        <v>#N/A Requesting Data...3551830904</v>
        <stp/>
        <stp>BDP|12121585708200153618</stp>
        <tr r="T51" s="2"/>
      </tp>
      <tp t="s">
        <v>#N/A Requesting Data...3769919361</v>
        <stp/>
        <stp>BDP|14725107232553532413</stp>
        <tr r="S115" s="2"/>
      </tp>
      <tp t="s">
        <v>#N/A Requesting Data...3678110961</v>
        <stp/>
        <stp>BDP|12163545450691232262</stp>
        <tr r="T13" s="2"/>
      </tp>
      <tp t="s">
        <v>#N/A N/A</v>
        <stp/>
        <stp>BDP|16291359263072502004</stp>
        <tr r="D157" s="2"/>
      </tp>
      <tp t="s">
        <v>#N/A Requesting Data...3619523360</v>
        <stp/>
        <stp>BDP|14753435195081633970</stp>
        <tr r="P45" s="2"/>
      </tp>
      <tp t="s">
        <v>#N/A Requesting Data...3576620326</v>
        <stp/>
        <stp>BDP|13284052291293099860</stp>
        <tr r="X21" s="2"/>
      </tp>
      <tp t="s">
        <v>#N/A N/A</v>
        <stp/>
        <stp>BDP|12742811945776365904</stp>
        <tr r="F94" s="2"/>
      </tp>
      <tp t="s">
        <v>#N/A Requesting Data...4258892045</v>
        <stp/>
        <stp>BDP|13066003496542746914</stp>
        <tr r="P122" s="2"/>
      </tp>
      <tp t="s">
        <v>#N/A Requesting Data...4086063047</v>
        <stp/>
        <stp>BDP|17941794665994082369</stp>
        <tr r="G49" s="2"/>
      </tp>
      <tp t="s">
        <v>#N/A N/A</v>
        <stp/>
        <stp>BDP|10307779719456657189</stp>
        <tr r="C112" s="2"/>
      </tp>
      <tp t="s">
        <v>#N/A Requesting Data...4226576432</v>
        <stp/>
        <stp>BDP|12031074636689605947</stp>
        <tr r="S17" s="2"/>
      </tp>
      <tp t="s">
        <v>#N/A Requesting Data...3935191246</v>
        <stp/>
        <stp>BDP|17783012815206346126</stp>
        <tr r="K115" s="2"/>
      </tp>
      <tp t="s">
        <v>#N/A Requesting Data...3877184416</v>
        <stp/>
        <stp>BDP|11708365626690298170</stp>
        <tr r="P76" s="2"/>
      </tp>
      <tp t="s">
        <v>#N/A N/A</v>
        <stp/>
        <stp>BDP|11609321251842189468</stp>
        <tr r="B115" s="2"/>
      </tp>
      <tp t="s">
        <v>#N/A N/A</v>
        <stp/>
        <stp>BDP|14439256718947865135</stp>
        <tr r="I132" s="2"/>
      </tp>
      <tp t="s">
        <v>#N/A Requesting Data...4221843992</v>
        <stp/>
        <stp>BDP|12310102159183999415</stp>
        <tr r="K151" s="2"/>
      </tp>
      <tp t="s">
        <v>#N/A Requesting Data...3799570600</v>
        <stp/>
        <stp>BDP|17464274232340698754</stp>
        <tr r="G109" s="2"/>
      </tp>
      <tp t="s">
        <v>#N/A Requesting Data...4244511451</v>
        <stp/>
        <stp>BDP|15526508046556733360</stp>
        <tr r="G29" s="2"/>
      </tp>
      <tp t="s">
        <v>#N/A N/A</v>
        <stp/>
        <stp>BDP|15941941098291413530</stp>
        <tr r="B87" s="2"/>
      </tp>
      <tp t="s">
        <v>#N/A Requesting Data...3698869086</v>
        <stp/>
        <stp>BDP|10599690315535391381</stp>
        <tr r="Y51" s="2"/>
      </tp>
      <tp t="s">
        <v>#N/A Requesting Data...3729533948</v>
        <stp/>
        <stp>BDP|15995340442402411198</stp>
        <tr r="S63" s="2"/>
      </tp>
      <tp t="s">
        <v>#N/A Requesting Data...4222762564</v>
        <stp/>
        <stp>BDP|16223445771590438462</stp>
        <tr r="Y17" s="2"/>
      </tp>
      <tp t="s">
        <v>#N/A Requesting Data...3557795929</v>
        <stp/>
        <stp>BDP|14321308140861357354</stp>
        <tr r="G36" s="2"/>
      </tp>
      <tp t="s">
        <v>#N/A Requesting Data...3983164525</v>
        <stp/>
        <stp>BDP|15663191601847893234</stp>
        <tr r="Y80" s="2"/>
      </tp>
      <tp t="s">
        <v>#N/A N/A</v>
        <stp/>
        <stp>BDP|17000771640383207603</stp>
        <tr r="C104" s="2"/>
      </tp>
      <tp t="s">
        <v>#N/A Requesting Data...4112957476</v>
        <stp/>
        <stp>BDP|17780456446971919782</stp>
        <tr r="O75" s="2"/>
      </tp>
      <tp t="s">
        <v>#N/A Requesting Data...3556621602</v>
        <stp/>
        <stp>BDP|11081067234626041566</stp>
        <tr r="G76" s="2"/>
      </tp>
      <tp t="s">
        <v>#N/A N/A</v>
        <stp/>
        <stp>BDP|10172325851591162679</stp>
        <tr r="F48" s="2"/>
      </tp>
      <tp t="s">
        <v>#N/A Requesting Data...3912672368</v>
        <stp/>
        <stp>BDP|12526166929264991446</stp>
        <tr r="S142" s="2"/>
      </tp>
      <tp t="s">
        <v>#N/A N/A</v>
        <stp/>
        <stp>BDP|16239429904154006735</stp>
        <tr r="D10" s="2"/>
      </tp>
      <tp t="s">
        <v>#N/A Requesting Data...3573842369</v>
        <stp/>
        <stp>BDP|10099080066271014698</stp>
        <tr r="J84" s="2"/>
      </tp>
      <tp t="s">
        <v>#N/A Requesting Data...4241240887</v>
        <stp/>
        <stp>BDP|14545418919076957639</stp>
        <tr r="P144" s="2"/>
      </tp>
      <tp t="s">
        <v>#N/A Requesting Data...4143412487</v>
        <stp/>
        <stp>BDP|11648431678280388385</stp>
        <tr r="J116" s="2"/>
      </tp>
      <tp t="s">
        <v>#N/A Requesting Data...4025943379</v>
        <stp/>
        <stp>BDP|15863691313524219769</stp>
        <tr r="O125" s="2"/>
      </tp>
      <tp t="s">
        <v>#N/A N/A</v>
        <stp/>
        <stp>BDP|15805326073025647598</stp>
        <tr r="C22" s="2"/>
      </tp>
      <tp t="s">
        <v>#N/A Requesting Data...3977060404</v>
        <stp/>
        <stp>BDP|10127709846316907486</stp>
        <tr r="X15" s="2"/>
      </tp>
      <tp t="s">
        <v>#N/A Requesting Data...4188152953</v>
        <stp/>
        <stp>BDP|11032759107870137754</stp>
        <tr r="S7" s="2"/>
      </tp>
      <tp t="s">
        <v>#N/A N/A</v>
        <stp/>
        <stp>BDP|12527752913420519501</stp>
        <tr r="I56" s="2"/>
      </tp>
      <tp t="s">
        <v>#N/A Requesting Data...3714393880</v>
        <stp/>
        <stp>BDP|18310120409267197803</stp>
        <tr r="G144" s="2"/>
      </tp>
      <tp t="s">
        <v>#N/A N/A</v>
        <stp/>
        <stp>BDP|16154716532235841132</stp>
        <tr r="B119" s="2"/>
      </tp>
      <tp t="s">
        <v>#N/A N/A</v>
        <stp/>
        <stp>BDP|13351542042621445581</stp>
        <tr r="I112" s="2"/>
      </tp>
      <tp t="s">
        <v>#N/A Requesting Data...3632982561</v>
        <stp/>
        <stp>BDP|15372626764231925249</stp>
        <tr r="X135" s="2"/>
      </tp>
      <tp t="s">
        <v>#N/A N/A</v>
        <stp/>
        <stp>BDP|14659345959706451271</stp>
        <tr r="D122" s="2"/>
      </tp>
      <tp t="s">
        <v>#N/A Requesting Data...4117010348</v>
        <stp/>
        <stp>BDP|12320364166930896132</stp>
        <tr r="K155" s="2"/>
      </tp>
      <tp t="s">
        <v>#N/A Requesting Data...4282865191</v>
        <stp/>
        <stp>BDP|10521598189792964971</stp>
        <tr r="S24" s="2"/>
      </tp>
      <tp t="s">
        <v>#N/A Requesting Data...4078258607</v>
        <stp/>
        <stp>BDP|11873025074644590405</stp>
        <tr r="T94" s="2"/>
      </tp>
      <tp t="s">
        <v>#N/A Requesting Data...3561459780</v>
        <stp/>
        <stp>BDP|13050703456761991640</stp>
        <tr r="G114" s="2"/>
      </tp>
      <tp t="s">
        <v>#N/A Requesting Data...3849647612</v>
        <stp/>
        <stp>BDP|11813452810873503134</stp>
        <tr r="X43" s="2"/>
      </tp>
      <tp t="s">
        <v>#N/A Requesting Data...4255790285</v>
        <stp/>
        <stp>BDP|12063298935030711503</stp>
        <tr r="G46" s="2"/>
      </tp>
      <tp t="s">
        <v>#N/A Requesting Data...4058250245</v>
        <stp/>
        <stp>BDP|16953928065428282772</stp>
        <tr r="S22" s="2"/>
      </tp>
      <tp t="s">
        <v>#N/A Requesting Data...3732143067</v>
        <stp/>
        <stp>BDP|13691163911626983334</stp>
        <tr r="P152" s="2"/>
      </tp>
      <tp t="s">
        <v>#N/A N/A</v>
        <stp/>
        <stp>BDP|12054294413095371220</stp>
        <tr r="B145" s="2"/>
      </tp>
      <tp t="s">
        <v>#N/A N/A</v>
        <stp/>
        <stp>BDP|13280544518101257067</stp>
        <tr r="I22" s="2"/>
      </tp>
      <tp t="s">
        <v>#N/A N/A</v>
        <stp/>
        <stp>BDP|12714197755389452952</stp>
        <tr r="I21" s="2"/>
      </tp>
      <tp t="s">
        <v>#N/A Requesting Data...4146145128</v>
        <stp/>
        <stp>BDP|12727992386137433260</stp>
        <tr r="T27" s="2"/>
      </tp>
      <tp t="s">
        <v>#N/A Requesting Data...4222887519</v>
        <stp/>
        <stp>BDP|11532594545785658355</stp>
        <tr r="X106" s="2"/>
      </tp>
      <tp t="s">
        <v>#N/A N/A</v>
        <stp/>
        <stp>BDP|16169180573066975096</stp>
        <tr r="C89" s="2"/>
      </tp>
      <tp t="s">
        <v>#N/A N/A</v>
        <stp/>
        <stp>BDP|12606488440413088743</stp>
        <tr r="I86" s="2"/>
      </tp>
      <tp t="s">
        <v>#N/A N/A</v>
        <stp/>
        <stp>BDP|13990535842972003620</stp>
        <tr r="F121" s="2"/>
      </tp>
      <tp t="s">
        <v>#N/A N/A</v>
        <stp/>
        <stp>BDP|12873783147827881050</stp>
        <tr r="B105" s="2"/>
      </tp>
      <tp t="s">
        <v>#N/A Requesting Data...4088395583</v>
        <stp/>
        <stp>BDP|16984315340112533505</stp>
        <tr r="P52" s="2"/>
      </tp>
      <tp t="s">
        <v>#N/A Requesting Data...4067135562</v>
        <stp/>
        <stp>BDP|15581671358753339348</stp>
        <tr r="G146" s="2"/>
      </tp>
      <tp t="s">
        <v>#N/A Requesting Data...3828256563</v>
        <stp/>
        <stp>BDP|15239070938188927882</stp>
        <tr r="J76" s="2"/>
      </tp>
      <tp t="s">
        <v>#N/A Requesting Data...4244619411</v>
        <stp/>
        <stp>BDP|13150286777415422563</stp>
        <tr r="X23" s="2"/>
      </tp>
      <tp t="s">
        <v>#N/A Requesting Data...4186188676</v>
        <stp/>
        <stp>BDP|13144291805563909486</stp>
        <tr r="G106" s="2"/>
      </tp>
      <tp t="s">
        <v>#N/A Requesting Data...3639015492</v>
        <stp/>
        <stp>BDP|12663830888207931383</stp>
        <tr r="X82" s="2"/>
      </tp>
      <tp t="s">
        <v>#N/A Requesting Data...3650170274</v>
        <stp/>
        <stp>BDP|13528920544721439988</stp>
        <tr r="Q31" s="2"/>
      </tp>
      <tp t="s">
        <v>#N/A Requesting Data...4191837177</v>
        <stp/>
        <stp>BDP|17406772068303115352</stp>
        <tr r="G42" s="2"/>
      </tp>
      <tp t="s">
        <v>#N/A Requesting Data...3778096373</v>
        <stp/>
        <stp>BDP|10139303674583317194</stp>
        <tr r="S112" s="2"/>
      </tp>
      <tp t="s">
        <v>#N/A N/A</v>
        <stp/>
        <stp>BDP|17817480458195178562</stp>
        <tr r="B33" s="2"/>
      </tp>
      <tp t="s">
        <v>#N/A Requesting Data...4222328584</v>
        <stp/>
        <stp>BDP|16321789204976399122</stp>
        <tr r="K59" s="2"/>
      </tp>
      <tp t="s">
        <v>#N/A Requesting Data...4125195146</v>
        <stp/>
        <stp>BDP|12071487075943288419</stp>
        <tr r="O32" s="2"/>
      </tp>
      <tp t="s">
        <v>#N/A N/A</v>
        <stp/>
        <stp>BDP|15786461817556027086</stp>
        <tr r="F84" s="2"/>
      </tp>
      <tp t="s">
        <v>#N/A N/A</v>
        <stp/>
        <stp>BDP|10203873109686639849</stp>
        <tr r="I78" s="2"/>
      </tp>
      <tp t="s">
        <v>#N/A N/A</v>
        <stp/>
        <stp>BDP|15844560237491797405</stp>
        <tr r="B95" s="2"/>
      </tp>
      <tp t="s">
        <v>#N/A N/A</v>
        <stp/>
        <stp>BDP|11990577451330702761</stp>
        <tr r="B147" s="2"/>
      </tp>
      <tp t="s">
        <v>#N/A Requesting Data...3677553989</v>
        <stp/>
        <stp>BDP|16292491082714151868</stp>
        <tr r="G121" s="2"/>
      </tp>
      <tp t="s">
        <v>#N/A Requesting Data...3816881703</v>
        <stp/>
        <stp>BDP|10535959917086826818</stp>
        <tr r="N26" s="2"/>
      </tp>
      <tp t="s">
        <v>#N/A Requesting Data...3791255101</v>
        <stp/>
        <stp>BDP|12810438212157286656</stp>
        <tr r="Y129" s="2"/>
      </tp>
      <tp t="s">
        <v>#N/A Requesting Data...4040475166</v>
        <stp/>
        <stp>BDP|14263115220994566577</stp>
        <tr r="Q152" s="2"/>
      </tp>
      <tp t="s">
        <v>#N/A Requesting Data...3657767226</v>
        <stp/>
        <stp>BDP|16873734376358907859</stp>
        <tr r="Q42" s="2"/>
      </tp>
      <tp t="s">
        <v>#N/A Requesting Data...4185912433</v>
        <stp/>
        <stp>BDP|17807843850779553589</stp>
        <tr r="O45" s="2"/>
      </tp>
      <tp t="s">
        <v>#N/A Requesting Data...3762999314</v>
        <stp/>
        <stp>BDP|12642242153715207623</stp>
        <tr r="J110" s="2"/>
      </tp>
      <tp t="s">
        <v>#N/A N/A</v>
        <stp/>
        <stp>BDP|14870593626232106774</stp>
        <tr r="D101" s="2"/>
      </tp>
      <tp t="s">
        <v>#N/A N/A</v>
        <stp/>
        <stp>BDP|11042523398439953226</stp>
        <tr r="B157" s="2"/>
      </tp>
      <tp t="s">
        <v>#N/A N/A</v>
        <stp/>
        <stp>BDP|15544919845966467844</stp>
        <tr r="B130" s="2"/>
      </tp>
      <tp t="s">
        <v>#N/A Requesting Data...4239077866</v>
        <stp/>
        <stp>BDP|13075775651805262245</stp>
        <tr r="J94" s="2"/>
      </tp>
      <tp t="s">
        <v>#N/A Requesting Data...3920248428</v>
        <stp/>
        <stp>BDP|16625187023733582084</stp>
        <tr r="N157" s="2"/>
      </tp>
      <tp t="s">
        <v>#N/A Requesting Data...3957171857</v>
        <stp/>
        <stp>BDP|11817285714033219769</stp>
        <tr r="G28" s="2"/>
      </tp>
      <tp t="s">
        <v>#N/A N/A</v>
        <stp/>
        <stp>BDP|15822517748972796069</stp>
        <tr r="D155" s="2"/>
      </tp>
      <tp t="s">
        <v>#N/A N/A</v>
        <stp/>
        <stp>BDP|16387876195190649178</stp>
        <tr r="B80" s="2"/>
      </tp>
      <tp t="s">
        <v>#N/A Requesting Data...3743322849</v>
        <stp/>
        <stp>BDP|18146176451298055277</stp>
        <tr r="P63" s="2"/>
      </tp>
      <tp t="s">
        <v>#N/A Requesting Data...3687531526</v>
        <stp/>
        <stp>BDP|13824282817933296551</stp>
        <tr r="N74" s="2"/>
      </tp>
      <tp t="s">
        <v>#N/A N/A</v>
        <stp/>
        <stp>BDP|14006850025638808081</stp>
        <tr r="I82" s="2"/>
      </tp>
      <tp t="s">
        <v>#N/A Requesting Data...4169446415</v>
        <stp/>
        <stp>BDP|11677544224438677807</stp>
        <tr r="X67" s="2"/>
      </tp>
      <tp t="s">
        <v>#N/A Requesting Data...4227087788</v>
        <stp/>
        <stp>BDP|12635420413612035370</stp>
        <tr r="J83" s="2"/>
      </tp>
      <tp t="s">
        <v>#N/A Requesting Data...4174085336</v>
        <stp/>
        <stp>BDP|16419134824673553059</stp>
        <tr r="G72" s="2"/>
      </tp>
      <tp t="s">
        <v>#N/A Requesting Data...4290837442</v>
        <stp/>
        <stp>BDP|17897805193178960814</stp>
        <tr r="K96" s="2"/>
      </tp>
      <tp t="s">
        <v>#N/A Requesting Data...3789763736</v>
        <stp/>
        <stp>BDP|17006573144069338933</stp>
        <tr r="K46" s="2"/>
      </tp>
      <tp t="s">
        <v>#N/A Requesting Data...3651497878</v>
        <stp/>
        <stp>BDP|17098335906556595428</stp>
        <tr r="K35" s="2"/>
      </tp>
      <tp t="s">
        <v>#N/A N/A</v>
        <stp/>
        <stp>BDP|12955303857006812448</stp>
        <tr r="I135" s="2"/>
      </tp>
      <tp t="s">
        <v>#N/A Requesting Data...3738310605</v>
        <stp/>
        <stp>BDP|13010004660632768159</stp>
        <tr r="P37" s="2"/>
      </tp>
      <tp t="s">
        <v>#N/A Requesting Data...3834459664</v>
        <stp/>
        <stp>BDP|11985853363509993042</stp>
        <tr r="J53" s="2"/>
      </tp>
      <tp t="s">
        <v>#N/A Requesting Data...3640323464</v>
        <stp/>
        <stp>BDP|16278424665676567427</stp>
        <tr r="G62" s="2"/>
      </tp>
      <tp t="s">
        <v>#N/A N/A</v>
        <stp/>
        <stp>BDP|15334268204169313877</stp>
        <tr r="F93" s="2"/>
      </tp>
      <tp t="s">
        <v>#N/A Requesting Data...4086647247</v>
        <stp/>
        <stp>BDP|11695718603556621677</stp>
        <tr r="Y19" s="2"/>
      </tp>
      <tp t="s">
        <v>#N/A Requesting Data...4278548980</v>
        <stp/>
        <stp>BDP|11417006619565160393</stp>
        <tr r="N37" s="2"/>
      </tp>
      <tp t="s">
        <v>#N/A Requesting Data...3802438901</v>
        <stp/>
        <stp>BDP|12755446527546199414</stp>
        <tr r="S4" s="2"/>
      </tp>
      <tp t="s">
        <v>#N/A Requesting Data...4185228682</v>
        <stp/>
        <stp>BDP|15805369711845889434</stp>
        <tr r="N64" s="2"/>
      </tp>
      <tp t="s">
        <v>#N/A N/A</v>
        <stp/>
        <stp>BDP|17848147127932906066</stp>
        <tr r="D146" s="2"/>
      </tp>
      <tp t="s">
        <v>#N/A Requesting Data...3970631561</v>
        <stp/>
        <stp>BDP|16197232931528454937</stp>
        <tr r="J146" s="2"/>
      </tp>
      <tp t="s">
        <v>#N/A Requesting Data...3958807968</v>
        <stp/>
        <stp>BDP|15357587908421618710</stp>
        <tr r="T105" s="2"/>
      </tp>
      <tp t="s">
        <v>#N/A N/A</v>
        <stp/>
        <stp>BDP|11232778047961020564</stp>
        <tr r="D116" s="2"/>
      </tp>
      <tp t="s">
        <v>#N/A Requesting Data...3665540781</v>
        <stp/>
        <stp>BDP|14612744321320556719</stp>
        <tr r="Q35" s="2"/>
      </tp>
      <tp t="s">
        <v>#N/A N/A</v>
        <stp/>
        <stp>BDP|10223258250065936491</stp>
        <tr r="F154" s="2"/>
      </tp>
      <tp t="s">
        <v>#N/A Requesting Data...4001224429</v>
        <stp/>
        <stp>BDP|11115526330819314870</stp>
        <tr r="T118" s="2"/>
      </tp>
      <tp t="s">
        <v>#N/A Requesting Data...4289693496</v>
        <stp/>
        <stp>BDP|15090442402747972087</stp>
        <tr r="T50" s="2"/>
      </tp>
      <tp t="s">
        <v>#N/A Requesting Data...3856255107</v>
        <stp/>
        <stp>BDP|12978265397406855970</stp>
        <tr r="S79" s="2"/>
      </tp>
      <tp t="s">
        <v>#N/A Requesting Data...3663865080</v>
        <stp/>
        <stp>BDP|14807031709050493200</stp>
        <tr r="X58" s="2"/>
      </tp>
      <tp t="s">
        <v>#N/A N/A</v>
        <stp/>
        <stp>BDP|17351131540864348057</stp>
        <tr r="C106" s="2"/>
      </tp>
      <tp t="s">
        <v>#N/A Requesting Data...4131655968</v>
        <stp/>
        <stp>BDP|18175765593034495465</stp>
        <tr r="T142" s="2"/>
      </tp>
      <tp t="s">
        <v>#N/A Requesting Data...3646712844</v>
        <stp/>
        <stp>BDP|18110434396596373511</stp>
        <tr r="T114" s="2"/>
      </tp>
      <tp t="s">
        <v>#N/A Requesting Data...3859692671</v>
        <stp/>
        <stp>BDP|10005546897088655237</stp>
        <tr r="P108" s="2"/>
      </tp>
      <tp t="s">
        <v>#N/A Requesting Data...3758950735</v>
        <stp/>
        <stp>BDP|11693083417504412347</stp>
        <tr r="Y27" s="2"/>
      </tp>
      <tp t="s">
        <v>#N/A Requesting Data...3730111383</v>
        <stp/>
        <stp>BDP|17271688267360549017</stp>
        <tr r="X104" s="2"/>
      </tp>
      <tp t="s">
        <v>#N/A Requesting Data...4039919539</v>
        <stp/>
        <stp>BDP|12872399204520840641</stp>
        <tr r="Y86" s="2"/>
      </tp>
      <tp t="s">
        <v>#N/A Requesting Data...4170825599</v>
        <stp/>
        <stp>BDP|12627622826426902729</stp>
        <tr r="T120" s="2"/>
      </tp>
      <tp t="s">
        <v>#N/A Requesting Data...4164291066</v>
        <stp/>
        <stp>BDP|10143299346824349543</stp>
        <tr r="K119" s="2"/>
      </tp>
      <tp t="s">
        <v>#N/A N/A</v>
        <stp/>
        <stp>BDP|16808617898049815701</stp>
        <tr r="I126" s="2"/>
      </tp>
      <tp t="s">
        <v>#N/A Requesting Data...3991503226</v>
        <stp/>
        <stp>BDP|17529230483503945949</stp>
        <tr r="X139" s="2"/>
      </tp>
      <tp t="s">
        <v>#N/A Requesting Data...3676616707</v>
        <stp/>
        <stp>BDP|11875527766494716136</stp>
        <tr r="N80" s="2"/>
      </tp>
      <tp t="s">
        <v>#N/A Requesting Data...4014558325</v>
        <stp/>
        <stp>BDP|15707668041960941015</stp>
        <tr r="G50" s="2"/>
      </tp>
      <tp t="s">
        <v>#N/A Requesting Data...3944786234</v>
        <stp/>
        <stp>BDP|13371596767312307566</stp>
        <tr r="J41" s="2"/>
      </tp>
      <tp t="s">
        <v>#N/A Requesting Data...3827094999</v>
        <stp/>
        <stp>BDP|12903224542873309015</stp>
        <tr r="O64" s="2"/>
      </tp>
      <tp t="s">
        <v>#N/A N/A</v>
        <stp/>
        <stp>BDP|10154565248132667427</stp>
        <tr r="I114" s="2"/>
      </tp>
      <tp t="s">
        <v>#N/A Requesting Data...3704416576</v>
        <stp/>
        <stp>BDP|17156782568466857720</stp>
        <tr r="N22" s="2"/>
      </tp>
      <tp t="s">
        <v>#N/A N/A</v>
        <stp/>
        <stp>BDP|17853220457223013462</stp>
        <tr r="F69" s="2"/>
      </tp>
      <tp t="s">
        <v>#N/A Requesting Data...3748812885</v>
        <stp/>
        <stp>BDP|12104536417813827273</stp>
        <tr r="K86" s="2"/>
      </tp>
      <tp t="s">
        <v>#N/A Requesting Data...3740893031</v>
        <stp/>
        <stp>BDP|17545793447707103403</stp>
        <tr r="T15" s="2"/>
      </tp>
      <tp t="s">
        <v>#N/A Requesting Data...3853511774</v>
        <stp/>
        <stp>BDP|17719528151964876467</stp>
        <tr r="N16" s="2"/>
      </tp>
      <tp t="s">
        <v>#N/A N/A</v>
        <stp/>
        <stp>BDP|11036186426522730736</stp>
        <tr r="I76" s="2"/>
      </tp>
      <tp t="s">
        <v>#N/A Requesting Data...4218501078</v>
        <stp/>
        <stp>BDP|15168525498587046916</stp>
        <tr r="O17" s="2"/>
      </tp>
      <tp t="s">
        <v>#N/A Requesting Data...4207109916</v>
        <stp/>
        <stp>BDP|11058132668303491222</stp>
        <tr r="J109" s="2"/>
      </tp>
      <tp t="s">
        <v>#N/A N/A</v>
        <stp/>
        <stp>BDP|11138511363033646689</stp>
        <tr r="D70" s="2"/>
      </tp>
      <tp t="s">
        <v>#N/A N/A</v>
        <stp/>
        <stp>BDP|10232484767280079501</stp>
        <tr r="B53" s="2"/>
      </tp>
      <tp t="s">
        <v>#N/A Requesting Data...3849633629</v>
        <stp/>
        <stp>BDP|15529940209692463912</stp>
        <tr r="X138" s="2"/>
      </tp>
      <tp t="s">
        <v>#N/A Requesting Data...4110742920</v>
        <stp/>
        <stp>BDP|12541553801011998144</stp>
        <tr r="S76" s="2"/>
      </tp>
      <tp t="s">
        <v>#N/A N/A</v>
        <stp/>
        <stp>BDP|11195535024235831424</stp>
        <tr r="C147" s="2"/>
      </tp>
      <tp t="s">
        <v>#N/A N/A</v>
        <stp/>
        <stp>BDP|10998702654664372122</stp>
        <tr r="I69" s="2"/>
      </tp>
      <tp t="s">
        <v>#N/A N/A</v>
        <stp/>
        <stp>BDP|17060182848521465488</stp>
        <tr r="C118" s="2"/>
      </tp>
      <tp t="s">
        <v>#N/A Requesting Data...3981918149</v>
        <stp/>
        <stp>BDP|15310835569129494511</stp>
        <tr r="P19" s="2"/>
      </tp>
      <tp t="s">
        <v>#N/A Requesting Data...4069797942</v>
        <stp/>
        <stp>BDP|15292124829063120243</stp>
        <tr r="T24" s="2"/>
      </tp>
      <tp t="s">
        <v>#N/A Requesting Data...4273939078</v>
        <stp/>
        <stp>BDP|11354277868852045008</stp>
        <tr r="P135" s="2"/>
      </tp>
      <tp t="s">
        <v>#N/A Requesting Data...4185722177</v>
        <stp/>
        <stp>BDP|11938111675394071413</stp>
        <tr r="X53" s="2"/>
      </tp>
      <tp t="s">
        <v>#N/A Requesting Data...3856861931</v>
        <stp/>
        <stp>BDP|15553570630116855258</stp>
        <tr r="P53" s="2"/>
      </tp>
      <tp t="s">
        <v>#N/A N/A</v>
        <stp/>
        <stp>BDP|15026925330919446199</stp>
        <tr r="I130" s="2"/>
      </tp>
      <tp t="s">
        <v>#N/A N/A</v>
        <stp/>
        <stp>BDP|17145583725914175328</stp>
        <tr r="B83" s="2"/>
      </tp>
      <tp t="s">
        <v>#N/A N/A</v>
        <stp/>
        <stp>BDP|14736477971441838163</stp>
        <tr r="I74" s="2"/>
      </tp>
      <tp t="s">
        <v>#N/A Requesting Data...3819204646</v>
        <stp/>
        <stp>BDP|15002402235230925535</stp>
        <tr r="N51" s="2"/>
      </tp>
      <tp t="s">
        <v>#N/A N/A</v>
        <stp/>
        <stp>BDP|15322982412338474222</stp>
        <tr r="C5" s="2"/>
      </tp>
      <tp t="s">
        <v>#N/A N/A</v>
        <stp/>
        <stp>BDP|13133341327792898758</stp>
        <tr r="F102" s="2"/>
      </tp>
      <tp t="s">
        <v>#N/A Requesting Data...4151730146</v>
        <stp/>
        <stp>BDP|11494294345619185978</stp>
        <tr r="Y43" s="2"/>
      </tp>
      <tp t="s">
        <v>#N/A Requesting Data...4038445189</v>
        <stp/>
        <stp>BDP|15700526472958048898</stp>
        <tr r="N132" s="2"/>
      </tp>
      <tp t="s">
        <v>#N/A Requesting Data...3850741132</v>
        <stp/>
        <stp>BDP|10923962494304509301</stp>
        <tr r="Y123" s="2"/>
      </tp>
      <tp t="s">
        <v>#N/A Requesting Data...4010687108</v>
        <stp/>
        <stp>BDP|11474762118105153556</stp>
        <tr r="O156" s="2"/>
      </tp>
      <tp t="s">
        <v>#N/A N/A</v>
        <stp/>
        <stp>BDP|17115130942743858664</stp>
        <tr r="B8" s="2"/>
      </tp>
      <tp t="s">
        <v>#N/A Requesting Data...3901571351</v>
        <stp/>
        <stp>BDP|14800240877524122243</stp>
        <tr r="G38" s="2"/>
      </tp>
      <tp t="s">
        <v>#N/A Requesting Data...4026901412</v>
        <stp/>
        <stp>BDP|11719914686176461158</stp>
        <tr r="N75" s="2"/>
      </tp>
      <tp t="s">
        <v>#N/A Requesting Data...4255232763</v>
        <stp/>
        <stp>BDP|14277295411045398585</stp>
        <tr r="N116" s="2"/>
      </tp>
      <tp t="s">
        <v>#N/A Requesting Data...4139603938</v>
        <stp/>
        <stp>BDP|11719175563919472869</stp>
        <tr r="N65" s="2"/>
      </tp>
      <tp t="s">
        <v>#N/A N/A</v>
        <stp/>
        <stp>BDP|10957495375365240166</stp>
        <tr r="B88" s="2"/>
      </tp>
      <tp t="s">
        <v>#N/A Requesting Data...3855962535</v>
        <stp/>
        <stp>BDP|11173483120207947715</stp>
        <tr r="N8" s="2"/>
      </tp>
      <tp t="s">
        <v>#N/A N/A</v>
        <stp/>
        <stp>BDP|10369135840987479558</stp>
        <tr r="F87" s="2"/>
      </tp>
      <tp t="s">
        <v>#N/A Requesting Data...4050785675</v>
        <stp/>
        <stp>BDP|14010633084639293452</stp>
        <tr r="N121" s="2"/>
      </tp>
      <tp t="s">
        <v>#N/A N/A</v>
        <stp/>
        <stp>BDP|15123347960745574208</stp>
        <tr r="F144" s="2"/>
      </tp>
      <tp t="s">
        <v>#N/A Requesting Data...3781492731</v>
        <stp/>
        <stp>BDP|17758645664686711605</stp>
        <tr r="G128" s="2"/>
      </tp>
      <tp t="s">
        <v>#N/A Requesting Data...4178478609</v>
        <stp/>
        <stp>BDP|15237873910308251377</stp>
        <tr r="S56" s="2"/>
      </tp>
      <tp t="s">
        <v>#N/A Requesting Data...3772731866</v>
        <stp/>
        <stp>BDP|12105138253939374826</stp>
        <tr r="P35" s="2"/>
      </tp>
      <tp t="s">
        <v>#N/A Requesting Data...3724094006</v>
        <stp/>
        <stp>BDP|17360156064664294309</stp>
        <tr r="T84" s="2"/>
      </tp>
      <tp t="s">
        <v>#N/A Requesting Data...4160391974</v>
        <stp/>
        <stp>BDP|15204656405671776553</stp>
        <tr r="S29" s="2"/>
      </tp>
      <tp t="s">
        <v>#N/A Requesting Data...3811433140</v>
        <stp/>
        <stp>BDP|13412517964186383115</stp>
        <tr r="N126" s="2"/>
      </tp>
      <tp t="s">
        <v>#N/A Requesting Data...4286518239</v>
        <stp/>
        <stp>BDP|10166798152530979505</stp>
        <tr r="Q131" s="2"/>
      </tp>
      <tp t="s">
        <v>#N/A Requesting Data...3768214593</v>
        <stp/>
        <stp>BDP|13572570293000464868</stp>
        <tr r="P62" s="2"/>
      </tp>
      <tp t="s">
        <v>#N/A Requesting Data...4220540549</v>
        <stp/>
        <stp>BDP|13107414892280943983</stp>
        <tr r="K91" s="2"/>
      </tp>
      <tp t="s">
        <v>#N/A N/A</v>
        <stp/>
        <stp>BDP|13454176802183533677</stp>
        <tr r="B61" s="2"/>
      </tp>
      <tp t="s">
        <v>#N/A Requesting Data...3919615706</v>
        <stp/>
        <stp>BDP|17070085570385869232</stp>
        <tr r="Q81" s="2"/>
      </tp>
      <tp t="s">
        <v>#N/A Requesting Data...3784135430</v>
        <stp/>
        <stp>BDP|10065640949327832278</stp>
        <tr r="O40" s="2"/>
      </tp>
      <tp t="s">
        <v>#N/A Requesting Data...4083770056</v>
        <stp/>
        <stp>BDP|11451459426391738121</stp>
        <tr r="Q34" s="2"/>
      </tp>
      <tp t="s">
        <v>#N/A Requesting Data...4167545962</v>
        <stp/>
        <stp>BDP|11425594246203818419</stp>
        <tr r="T78" s="2"/>
      </tp>
      <tp t="s">
        <v>#N/A Requesting Data...4057398751</v>
        <stp/>
        <stp>BDP|18164247044170431970</stp>
        <tr r="T73" s="2"/>
      </tp>
      <tp t="s">
        <v>#N/A Requesting Data...3864389267</v>
        <stp/>
        <stp>BDP|15836663936905887223</stp>
        <tr r="Q47" s="2"/>
      </tp>
      <tp t="s">
        <v>#N/A N/A</v>
        <stp/>
        <stp>BDP|15595399238446711412</stp>
        <tr r="B97" s="2"/>
      </tp>
      <tp t="s">
        <v>#N/A N/A</v>
        <stp/>
        <stp>BDP|14723038280632238949</stp>
        <tr r="D11" s="2"/>
      </tp>
      <tp t="s">
        <v>#N/A Requesting Data...3831172745</v>
        <stp/>
        <stp>BDP|16042074136202341003</stp>
        <tr r="Y93" s="2"/>
      </tp>
      <tp t="s">
        <v>#N/A Requesting Data...3889364252</v>
        <stp/>
        <stp>BDP|10555620913960767061</stp>
        <tr r="K103" s="2"/>
      </tp>
      <tp t="s">
        <v>#N/A Requesting Data...3910474473</v>
        <stp/>
        <stp>BDP|14192436721151053460</stp>
        <tr r="O128" s="2"/>
      </tp>
      <tp t="s">
        <v>#N/A N/A</v>
        <stp/>
        <stp>BDP|10179757291710783970</stp>
        <tr r="F124" s="2"/>
      </tp>
      <tp t="s">
        <v>#N/A Requesting Data...4284207901</v>
        <stp/>
        <stp>BDP|10799710217503647226</stp>
        <tr r="X8" s="2"/>
      </tp>
      <tp t="s">
        <v>#N/A Requesting Data...3842416939</v>
        <stp/>
        <stp>BDP|17241158474600440620</stp>
        <tr r="Q122" s="2"/>
      </tp>
      <tp t="s">
        <v>#N/A Requesting Data...3951330275</v>
        <stp/>
        <stp>BDP|16260975814498408104</stp>
        <tr r="K158" s="2"/>
      </tp>
      <tp t="s">
        <v>#N/A Requesting Data...3929503755</v>
        <stp/>
        <stp>BDP|13739066402233451722</stp>
        <tr r="N99" s="2"/>
      </tp>
      <tp t="s">
        <v>#N/A Requesting Data...4283567281</v>
        <stp/>
        <stp>BDP|12826885635237861985</stp>
        <tr r="P151" s="2"/>
      </tp>
      <tp t="s">
        <v>#N/A Requesting Data...3838515241</v>
        <stp/>
        <stp>BDP|17314686795677974822</stp>
        <tr r="J50" s="2"/>
      </tp>
      <tp t="s">
        <v>#N/A N/A</v>
        <stp/>
        <stp>BDP|15124348224500513305</stp>
        <tr r="F88" s="2"/>
      </tp>
      <tp t="s">
        <v>#N/A N/A</v>
        <stp/>
        <stp>BDP|13072319098578511682</stp>
        <tr r="I141" s="2"/>
      </tp>
      <tp t="s">
        <v>#N/A N/A</v>
        <stp/>
        <stp>BDP|11890972013247074981</stp>
        <tr r="B23" s="2"/>
      </tp>
      <tp t="s">
        <v>#N/A Requesting Data...4286180214</v>
        <stp/>
        <stp>BDP|12861346640215883707</stp>
        <tr r="P74" s="2"/>
      </tp>
      <tp t="s">
        <v>#N/A N/A</v>
        <stp/>
        <stp>BDP|15721706932391149703</stp>
        <tr r="F8" s="2"/>
      </tp>
      <tp t="s">
        <v>#N/A N/A</v>
        <stp/>
        <stp>BDP|12138709823455195570</stp>
        <tr r="D20" s="2"/>
      </tp>
      <tp t="s">
        <v>#N/A N/A</v>
        <stp/>
        <stp>BDP|13037358373957770751</stp>
        <tr r="C75" s="2"/>
      </tp>
      <tp t="s">
        <v>#N/A Requesting Data...3818539296</v>
        <stp/>
        <stp>BDP|16395242175783059753</stp>
        <tr r="Q37" s="2"/>
      </tp>
      <tp t="s">
        <v>#N/A Requesting Data...3948050660</v>
        <stp/>
        <stp>BDP|10923564329841131103</stp>
        <tr r="X50" s="2"/>
      </tp>
      <tp t="s">
        <v>#N/A Requesting Data...3757397058</v>
        <stp/>
        <stp>BDP|11326656705421240164</stp>
        <tr r="Q78" s="2"/>
      </tp>
      <tp t="s">
        <v>#N/A Requesting Data...3986202169</v>
        <stp/>
        <stp>BDP|17471892685538735885</stp>
        <tr r="Q23" s="2"/>
      </tp>
      <tp t="s">
        <v>#N/A Requesting Data...4028846889</v>
        <stp/>
        <stp>BDP|10696658365016593150</stp>
        <tr r="J4" s="2"/>
      </tp>
      <tp t="s">
        <v>#N/A N/A</v>
        <stp/>
        <stp>BDP|13201603482368248248</stp>
        <tr r="F149" s="2"/>
      </tp>
      <tp t="s">
        <v>#N/A N/A</v>
        <stp/>
        <stp>BDP|11765638857502502709</stp>
        <tr r="I19" s="2"/>
      </tp>
      <tp t="s">
        <v>#N/A Requesting Data...4274537016</v>
        <stp/>
        <stp>BDP|16840393221515053566</stp>
        <tr r="J112" s="2"/>
      </tp>
      <tp t="s">
        <v>#N/A N/A</v>
        <stp/>
        <stp>BDP|13768522052382025612</stp>
        <tr r="D143" s="2"/>
      </tp>
      <tp t="s">
        <v>#N/A Requesting Data...4188389460</v>
        <stp/>
        <stp>BDP|17333037675360701742</stp>
        <tr r="K80" s="2"/>
      </tp>
      <tp t="s">
        <v>#N/A N/A</v>
        <stp/>
        <stp>BDP|18145030083016045281</stp>
        <tr r="F46" s="2"/>
      </tp>
      <tp t="s">
        <v>#N/A Requesting Data...4246585349</v>
        <stp/>
        <stp>BDP|15312234205613851047</stp>
        <tr r="K92" s="2"/>
      </tp>
      <tp t="s">
        <v>#N/A Requesting Data...4072786497</v>
        <stp/>
        <stp>BDP|16994395468381380627</stp>
        <tr r="J78" s="2"/>
      </tp>
      <tp t="s">
        <v>#N/A Requesting Data...3992798903</v>
        <stp/>
        <stp>BDP|11293151188204088867</stp>
        <tr r="G74" s="2"/>
      </tp>
      <tp t="s">
        <v>#N/A N/A</v>
        <stp/>
        <stp>BDP|11187691519635837709</stp>
        <tr r="F50" s="2"/>
      </tp>
      <tp t="s">
        <v>#N/A N/A</v>
        <stp/>
        <stp>BDP|13680157633857033290</stp>
        <tr r="D119" s="2"/>
      </tp>
      <tp t="s">
        <v>#N/A N/A</v>
        <stp/>
        <stp>BDP|13910233730352137439</stp>
        <tr r="C158" s="2"/>
      </tp>
      <tp t="s">
        <v>#N/A N/A</v>
        <stp/>
        <stp>BDP|17597492565715206436</stp>
        <tr r="C73" s="2"/>
      </tp>
      <tp t="s">
        <v>#N/A Requesting Data...4082277275</v>
        <stp/>
        <stp>BDP|10751398917626113009</stp>
        <tr r="Q99" s="2"/>
      </tp>
      <tp t="s">
        <v>#N/A Requesting Data...3999943837</v>
        <stp/>
        <stp>BDP|11334422266395485282</stp>
        <tr r="P84" s="2"/>
      </tp>
      <tp t="s">
        <v>#N/A Requesting Data...3791684318</v>
        <stp/>
        <stp>BDP|14030204858440055738</stp>
        <tr r="X86" s="2"/>
      </tp>
      <tp t="s">
        <v>#N/A Requesting Data...3771813201</v>
        <stp/>
        <stp>BDP|13791447416092896064</stp>
        <tr r="P153" s="2"/>
      </tp>
      <tp t="s">
        <v>#N/A N/A</v>
        <stp/>
        <stp>BDP|12713895987405122330</stp>
        <tr r="D74" s="2"/>
      </tp>
      <tp t="s">
        <v>#N/A Requesting Data...3777563291</v>
        <stp/>
        <stp>BDP|10852526265842480506</stp>
        <tr r="Y75" s="2"/>
      </tp>
      <tp t="s">
        <v>#N/A Requesting Data...3988033976</v>
        <stp/>
        <stp>BDP|14365688088697926902</stp>
        <tr r="G57" s="2"/>
      </tp>
      <tp t="s">
        <v>#N/A Requesting Data...4203256884</v>
        <stp/>
        <stp>BDP|11533460430463885117</stp>
        <tr r="N25" s="2"/>
      </tp>
      <tp t="s">
        <v>#N/A Requesting Data...4108249646</v>
        <stp/>
        <stp>BDP|15724520552974826556</stp>
        <tr r="O89" s="2"/>
      </tp>
      <tp t="s">
        <v>#N/A Requesting Data...3932657949</v>
        <stp/>
        <stp>BDP|14580023301149981951</stp>
        <tr r="G77" s="2"/>
      </tp>
      <tp t="s">
        <v>#N/A Requesting Data...4236459640</v>
        <stp/>
        <stp>BDP|14882996143288097583</stp>
        <tr r="Q74" s="2"/>
      </tp>
      <tp t="s">
        <v>#N/A Requesting Data...4032762141</v>
        <stp/>
        <stp>BDP|14065647515346221196</stp>
        <tr r="Q39" s="2"/>
      </tp>
      <tp t="s">
        <v>#N/A N/A</v>
        <stp/>
        <stp>BDP|17519064647873013497</stp>
        <tr r="D117" s="2"/>
      </tp>
      <tp t="s">
        <v>#N/A Requesting Data...4235229847</v>
        <stp/>
        <stp>BDP|17081313969451741725</stp>
        <tr r="X6" s="2"/>
      </tp>
      <tp t="s">
        <v>#N/A Requesting Data...4258886510</v>
        <stp/>
        <stp>BDP|14474636853423199081</stp>
        <tr r="S107" s="2"/>
      </tp>
      <tp t="s">
        <v>#N/A Requesting Data...3916282065</v>
        <stp/>
        <stp>BDP|16252597797456599843</stp>
        <tr r="Y41" s="2"/>
      </tp>
      <tp t="s">
        <v>#N/A Requesting Data...4004088103</v>
        <stp/>
        <stp>BDP|16340770343390855125</stp>
        <tr r="K163" s="2"/>
      </tp>
      <tp t="s">
        <v>#N/A Requesting Data...4109954258</v>
        <stp/>
        <stp>BDP|15307720012110948773</stp>
        <tr r="J38" s="2"/>
      </tp>
      <tp t="s">
        <v>#N/A Requesting Data...3786870554</v>
        <stp/>
        <stp>BDP|14894656252954553776</stp>
        <tr r="T69" s="2"/>
      </tp>
      <tp t="s">
        <v>#N/A Requesting Data...4075375820</v>
        <stp/>
        <stp>BDP|17916475046896329575</stp>
        <tr r="N155" s="2"/>
      </tp>
      <tp t="s">
        <v>#N/A Requesting Data...3938243049</v>
        <stp/>
        <stp>BDP|15067331162413806758</stp>
        <tr r="O27" s="2"/>
      </tp>
      <tp t="s">
        <v>#N/A N/A</v>
        <stp/>
        <stp>BDP|15316388932763516200</stp>
        <tr r="I106" s="2"/>
      </tp>
      <tp t="s">
        <v>#N/A N/A</v>
        <stp/>
        <stp>BDP|13878585029073001352</stp>
        <tr r="B10" s="2"/>
      </tp>
      <tp t="s">
        <v>#N/A N/A</v>
        <stp/>
        <stp>BDP|14671101728503122036</stp>
        <tr r="B38" s="2"/>
      </tp>
      <tp t="s">
        <v>#N/A Requesting Data...4277449899</v>
        <stp/>
        <stp>BDP|10984687647842942435</stp>
        <tr r="J19" s="2"/>
      </tp>
      <tp t="s">
        <v>#N/A Requesting Data...3980449564</v>
        <stp/>
        <stp>BDP|10337166748741143000</stp>
        <tr r="J89" s="2"/>
      </tp>
      <tp t="s">
        <v>#N/A N/A</v>
        <stp/>
        <stp>BDP|13786554837187828624</stp>
        <tr r="B142" s="2"/>
      </tp>
      <tp t="s">
        <v>#N/A Requesting Data...3807791393</v>
        <stp/>
        <stp>BDP|12894055351096011534</stp>
        <tr r="O43" s="2"/>
      </tp>
      <tp t="s">
        <v>#N/A Requesting Data...3902853476</v>
        <stp/>
        <stp>BDP|11768201772255860521</stp>
        <tr r="P16" s="2"/>
      </tp>
      <tp t="s">
        <v>#N/A Requesting Data...3954395379</v>
        <stp/>
        <stp>BDP|17285279547175443095</stp>
        <tr r="J72" s="2"/>
      </tp>
      <tp t="s">
        <v>#N/A Requesting Data...4038712767</v>
        <stp/>
        <stp>BDP|16204784874333135119</stp>
        <tr r="Y10" s="2"/>
      </tp>
      <tp t="s">
        <v>#N/A N/A</v>
        <stp/>
        <stp>BDP|17943411067392497353</stp>
        <tr r="C162" s="2"/>
      </tp>
      <tp t="s">
        <v>#N/A Requesting Data...4049843182</v>
        <stp/>
        <stp>BDP|11278657701890129396</stp>
        <tr r="K6" s="2"/>
      </tp>
      <tp t="s">
        <v>#N/A N/A</v>
        <stp/>
        <stp>BDP|15660491786244750903</stp>
        <tr r="B103" s="2"/>
      </tp>
      <tp t="s">
        <v>#N/A Requesting Data...4210553819</v>
        <stp/>
        <stp>BDP|13578258453460546088</stp>
        <tr r="N94" s="2"/>
      </tp>
      <tp t="s">
        <v>#N/A N/A</v>
        <stp/>
        <stp>BDP|10482223363679333977</stp>
        <tr r="D136" s="2"/>
      </tp>
      <tp t="s">
        <v>#N/A N/A</v>
        <stp/>
        <stp>BDP|17312791364786910467</stp>
        <tr r="B41" s="2"/>
      </tp>
      <tp t="s">
        <v>#N/A Requesting Data...3982526168</v>
        <stp/>
        <stp>BDP|12493705834354373628</stp>
        <tr r="P113" s="2"/>
      </tp>
      <tp t="s">
        <v>#N/A Requesting Data...3868746663</v>
        <stp/>
        <stp>BDP|13215065454075364725</stp>
        <tr r="K42" s="2"/>
      </tp>
      <tp t="s">
        <v>#N/A Requesting Data...3955912531</v>
        <stp/>
        <stp>BDP|15363188203358921812</stp>
        <tr r="S86" s="2"/>
      </tp>
      <tp t="s">
        <v>#N/A N/A</v>
        <stp/>
        <stp>BDP|10169571125710354309</stp>
        <tr r="F72" s="2"/>
      </tp>
      <tp t="s">
        <v>#N/A Requesting Data...3878041811</v>
        <stp/>
        <stp>BDP|10761544000450340103</stp>
        <tr r="J29" s="2"/>
      </tp>
      <tp t="s">
        <v>#N/A Requesting Data...3898467590</v>
        <stp/>
        <stp>BDP|12183976540939648203</stp>
        <tr r="P126" s="2"/>
      </tp>
      <tp t="s">
        <v>#N/A Requesting Data...3896374707</v>
        <stp/>
        <stp>BDP|13757757772454377331</stp>
        <tr r="O102" s="2"/>
      </tp>
      <tp t="s">
        <v>#N/A Requesting Data...4237476639</v>
        <stp/>
        <stp>BDP|13304723500120949080</stp>
        <tr r="X5" s="2"/>
      </tp>
      <tp t="s">
        <v>#N/A N/A</v>
        <stp/>
        <stp>BDP|11933979578873046858</stp>
        <tr r="I48" s="2"/>
      </tp>
      <tp t="s">
        <v>#N/A Requesting Data...4000316885</v>
        <stp/>
        <stp>BDP|16083410742374364630</stp>
        <tr r="T80" s="2"/>
      </tp>
      <tp t="s">
        <v>#N/A Requesting Data...4264229664</v>
        <stp/>
        <stp>BDP|10776670341764066221</stp>
        <tr r="Q50" s="2"/>
      </tp>
      <tp t="s">
        <v>#N/A Requesting Data...4014265110</v>
        <stp/>
        <stp>BDP|12577409635582092336</stp>
        <tr r="X140" s="2"/>
      </tp>
      <tp t="s">
        <v>#N/A Requesting Data...4252818287</v>
        <stp/>
        <stp>BDP|18008959984035497864</stp>
        <tr r="G124" s="2"/>
      </tp>
      <tp t="s">
        <v>#N/A N/A</v>
        <stp/>
        <stp>BDP|12367228054559408839</stp>
        <tr r="I115" s="2"/>
      </tp>
      <tp t="s">
        <v>#N/A Requesting Data...4228109138</v>
        <stp/>
        <stp>BDP|12650782119129510905</stp>
        <tr r="G81" s="2"/>
      </tp>
      <tp t="s">
        <v>#N/A N/A</v>
        <stp/>
        <stp>BDP|12239444632373323253</stp>
        <tr r="D36" s="2"/>
      </tp>
      <tp t="s">
        <v>#N/A Requesting Data...3876810401</v>
        <stp/>
        <stp>BDP|12823579430105951534</stp>
        <tr r="Y109" s="2"/>
      </tp>
      <tp t="s">
        <v>#N/A Requesting Data...4271521686</v>
        <stp/>
        <stp>BDP|16605054128958810867</stp>
        <tr r="Y116" s="2"/>
      </tp>
      <tp t="s">
        <v>#N/A N/A</v>
        <stp/>
        <stp>BDP|12226237418135576099</stp>
        <tr r="I10" s="2"/>
      </tp>
      <tp t="s">
        <v>#N/A Requesting Data...4155211951</v>
        <stp/>
        <stp>BDP|12865654715081842059</stp>
        <tr r="S30" s="2"/>
      </tp>
      <tp t="s">
        <v>#N/A N/A</v>
        <stp/>
        <stp>BDP|16545407425396798225</stp>
        <tr r="D17" s="2"/>
      </tp>
      <tp t="s">
        <v>#N/A Requesting Data...4258143302</v>
        <stp/>
        <stp>BDP|12407874433958344565</stp>
        <tr r="Y94" s="2"/>
      </tp>
      <tp t="s">
        <v>#N/A N/A</v>
        <stp/>
        <stp>BDP|13751372430174720326</stp>
        <tr r="F57" s="2"/>
      </tp>
      <tp t="s">
        <v>#N/A Requesting Data...4169848724</v>
        <stp/>
        <stp>BDP|18292328042659299259</stp>
        <tr r="K89" s="2"/>
      </tp>
      <tp t="s">
        <v>#N/A Requesting Data...4170812363</v>
        <stp/>
        <stp>BDP|13564661005283283204</stp>
        <tr r="G2" s="2"/>
      </tp>
      <tp t="s">
        <v>#N/A N/A</v>
        <stp/>
        <stp>BDP|16696686923422863410</stp>
        <tr r="I25" s="2"/>
      </tp>
      <tp t="s">
        <v>#N/A N/A</v>
        <stp/>
        <stp>BDP|10159848896443266658</stp>
        <tr r="D29" s="2"/>
      </tp>
      <tp t="s">
        <v>#N/A Requesting Data...4201140296</v>
        <stp/>
        <stp>BDP|10430810453568855199</stp>
        <tr r="O35" s="2"/>
      </tp>
      <tp t="s">
        <v>#N/A Requesting Data...4218394807</v>
        <stp/>
        <stp>BDP|13617134674450405128</stp>
        <tr r="N76" s="2"/>
      </tp>
      <tp t="s">
        <v>#N/A Requesting Data...4277524829</v>
        <stp/>
        <stp>BDP|14139336606082557169</stp>
        <tr r="P79" s="2"/>
      </tp>
      <tp t="s">
        <v>#N/A N/A</v>
        <stp/>
        <stp>BDP|13893876070208903012</stp>
        <tr r="D5" s="2"/>
      </tp>
      <tp t="s">
        <v>#N/A Requesting Data...4253821675</v>
        <stp/>
        <stp>BDP|14809289921656497620</stp>
        <tr r="G133" s="2"/>
      </tp>
      <tp t="s">
        <v>#N/A Requesting Data...4152265826</v>
        <stp/>
        <stp>BDP|10470261600477722139</stp>
        <tr r="P29" s="2"/>
      </tp>
      <tp t="s">
        <v>#N/A Requesting Data...4202011368</v>
        <stp/>
        <stp>BDP|15006727511855402217</stp>
        <tr r="T85" s="2"/>
      </tp>
      <tp t="s">
        <v>#N/A N/A</v>
        <stp/>
        <stp>BDP|14477828331208278335</stp>
        <tr r="B16" s="2"/>
      </tp>
      <tp t="s">
        <v>#N/A Requesting Data...4233217641</v>
        <stp/>
        <stp>BDP|16267340035257026554</stp>
        <tr r="K78" s="2"/>
      </tp>
      <tp t="s">
        <v>#N/A N/A</v>
        <stp/>
        <stp>BDP|17425255073455038347</stp>
        <tr r="F75" s="2"/>
      </tp>
      <tp t="s">
        <v>#N/A Requesting Data...4250162899</v>
        <stp/>
        <stp>BDP|14431528758277556621</stp>
        <tr r="G45" s="2"/>
      </tp>
      <tp t="s">
        <v>#N/A N/A</v>
        <stp/>
        <stp>BDP|17409988297644053629</stp>
        <tr r="F53" s="2"/>
      </tp>
      <tp t="s">
        <v>#N/A Requesting Data...4254670423</v>
        <stp/>
        <stp>BDP|13090017581286994804</stp>
        <tr r="J108" s="2"/>
      </tp>
      <tp t="s">
        <v>#N/A Requesting Data...4243419951</v>
        <stp/>
        <stp>BDP|12590225603756849344</stp>
        <tr r="X36" s="2"/>
      </tp>
      <tp t="s">
        <v>#N/A Requesting Data...4263074675</v>
        <stp/>
        <stp>BDP|10767975798752071708</stp>
        <tr r="J111" s="2"/>
      </tp>
      <tp t="s">
        <v>#N/A N/A</v>
        <stp/>
        <stp>BDP|11060925004629895467</stp>
        <tr r="B77" s="2"/>
      </tp>
      <tp t="s">
        <v>#N/A Requesting Data...4237234064</v>
        <stp/>
        <stp>BDP|14772969108880644878</stp>
        <tr r="T39" s="2"/>
      </tp>
      <tp t="s">
        <v>#N/A Requesting Data...4176619548</v>
        <stp/>
        <stp>BDP|18321844815823374796</stp>
        <tr r="Y102" s="2"/>
      </tp>
      <tp t="s">
        <v>#N/A N/A</v>
        <stp/>
        <stp>BDP|15552245552100873738</stp>
        <tr r="F156" s="2"/>
      </tp>
      <tp t="s">
        <v>#N/A Requesting Data...4289894278</v>
        <stp/>
        <stp>BDP|14268424564722419187</stp>
        <tr r="X126" s="2"/>
      </tp>
      <tp t="s">
        <v>#N/A Requesting Data...4252596021</v>
        <stp/>
        <stp>BDP|12923918744523192956</stp>
        <tr r="Q161" s="2"/>
      </tp>
      <tp t="s">
        <v>#N/A Requesting Data...4222844626</v>
        <stp/>
        <stp>BDP|14249280522559548850</stp>
        <tr r="K79" s="2"/>
      </tp>
      <tp t="s">
        <v>#N/A N/A</v>
        <stp/>
        <stp>BDP|10786583604478294828</stp>
        <tr r="B56" s="2"/>
      </tp>
      <tp t="s">
        <v>#N/A Requesting Data...4220692795</v>
        <stp/>
        <stp>BDP|13580088414715549275</stp>
        <tr r="O52" s="2"/>
      </tp>
      <tp t="s">
        <v>#N/A Requesting Data...4231990024</v>
        <stp/>
        <stp>BDP|11556658851312905521</stp>
        <tr r="P123" s="2"/>
      </tp>
      <tp t="s">
        <v>#N/A Requesting Data...4257924421</v>
        <stp/>
        <stp>BDP|11487288066781708179</stp>
        <tr r="N85" s="2"/>
      </tp>
      <tp t="s">
        <v>#N/A Requesting Data...4180215775</v>
        <stp/>
        <stp>BDP|12608905503309853771</stp>
        <tr r="Q101" s="2"/>
      </tp>
      <tp t="s">
        <v>#N/A Requesting Data...4221298455</v>
        <stp/>
        <stp>BDP|11930694642274140297</stp>
        <tr r="Q80" s="2"/>
      </tp>
      <tp t="s">
        <v>#N/A Requesting Data...4266838535</v>
        <stp/>
        <stp>BDP|14201643296899997737</stp>
        <tr r="K112" s="2"/>
      </tp>
      <tp t="s">
        <v>#N/A Requesting Data...4196825911</v>
        <stp/>
        <stp>BDP|16030707413432621787</stp>
        <tr r="Q115" s="2"/>
      </tp>
      <tp t="s">
        <v>#N/A Requesting Data...4188492470</v>
        <stp/>
        <stp>BDP|17736461249553789131</stp>
        <tr r="P104" s="2"/>
      </tp>
      <tp t="s">
        <v>#N/A Requesting Data...4243940566</v>
        <stp/>
        <stp>BDP|16682657084614839903</stp>
        <tr r="G127" s="2"/>
      </tp>
      <tp t="s">
        <v>#N/A Requesting Data...4202366098</v>
        <stp/>
        <stp>BDP|13511158153751411380</stp>
        <tr r="K34" s="2"/>
      </tp>
      <tp t="s">
        <v>#N/A Requesting Data...4254590112</v>
        <stp/>
        <stp>BDP|15324652334983933647</stp>
        <tr r="X55" s="2"/>
      </tp>
      <tp t="s">
        <v>#N/A N/A</v>
        <stp/>
        <stp>BDP|16850672602436180336</stp>
        <tr r="I122" s="2"/>
      </tp>
      <tp t="s">
        <v>#N/A Requesting Data...4248087707</v>
        <stp/>
        <stp>BDP|17368608531351855658</stp>
        <tr r="J130" s="2"/>
      </tp>
      <tp t="s">
        <v>#N/A Requesting Data...4171783552</v>
        <stp/>
        <stp>BDP|11961417063513270563</stp>
        <tr r="S126" s="2"/>
      </tp>
      <tp t="s">
        <v>#N/A Requesting Data...4187413257</v>
        <stp/>
        <stp>BDP|12892124117822019523</stp>
        <tr r="N129" s="2"/>
      </tp>
      <tp t="s">
        <v>#N/A N/A</v>
        <stp/>
        <stp>BDP|17881488358235760603</stp>
        <tr r="D128" s="2"/>
      </tp>
      <tp t="s">
        <v>#N/A Requesting Data...4207973848</v>
        <stp/>
        <stp>BDP|14892077735121295370</stp>
        <tr r="K76" s="2"/>
      </tp>
      <tp t="s">
        <v>#N/A N/A</v>
        <stp/>
        <stp>BDP|17672052308904765621</stp>
        <tr r="F11" s="2"/>
      </tp>
      <tp t="s">
        <v>#N/A N/A</v>
        <stp/>
        <stp>BDP|15674443003595930164</stp>
        <tr r="F30" s="2"/>
      </tp>
      <tp t="s">
        <v>#N/A Requesting Data...4221338803</v>
        <stp/>
        <stp>BDP|11398730361950125519</stp>
        <tr r="X17" s="2"/>
      </tp>
      <tp t="s">
        <v>#N/A Requesting Data...4258678575</v>
        <stp/>
        <stp>BDP|13974999396857755109</stp>
        <tr r="G14" s="2"/>
      </tp>
      <tp t="s">
        <v>#N/A Requesting Data...4234115400</v>
        <stp/>
        <stp>BDP|16132753456378300904</stp>
        <tr r="T70" s="2"/>
      </tp>
      <tp t="s">
        <v>#N/A Requesting Data...4225445684</v>
        <stp/>
        <stp>BDP|10303528901154847499</stp>
        <tr r="T144" s="2"/>
      </tp>
      <tp t="s">
        <v>#N/A Requesting Data...4262069774</v>
        <stp/>
        <stp>BDP|11035855723018218653</stp>
        <tr r="T52" s="2"/>
      </tp>
      <tp t="s">
        <v>#N/A N/A</v>
        <stp/>
        <stp>BDP|12640162214587282061</stp>
        <tr r="B42" s="2"/>
      </tp>
      <tp t="s">
        <v>#N/A N/A</v>
        <stp/>
        <stp>BDP|11522198538756257060</stp>
        <tr r="C107" s="2"/>
      </tp>
      <tp t="s">
        <v>#N/A Requesting Data...4223626586</v>
        <stp/>
        <stp>BDP|18319369175610683969</stp>
        <tr r="J58" s="2"/>
      </tp>
      <tp t="s">
        <v>#N/A Requesting Data...4277849927</v>
        <stp/>
        <stp>BDP|14423839946284986983</stp>
        <tr r="J162" s="2"/>
      </tp>
      <tp t="s">
        <v>#N/A N/A</v>
        <stp/>
        <stp>BDP|16838728300637242389</stp>
        <tr r="I121" s="2"/>
      </tp>
      <tp t="s">
        <v>#N/A N/A</v>
        <stp/>
        <stp>BDP|13451699709768016870</stp>
        <tr r="B153" s="2"/>
      </tp>
      <tp t="s">
        <v>#N/A Requesting Data...4226829672</v>
        <stp/>
        <stp>BDP|15330717790116786862</stp>
        <tr r="K21" s="2"/>
      </tp>
      <tp t="s">
        <v>#N/A Requesting Data...4248942080</v>
        <stp/>
        <stp>BDP|17449530075087814794</stp>
        <tr r="P25" s="2"/>
      </tp>
      <tp t="s">
        <v>#N/A Requesting Data...4256705629</v>
        <stp/>
        <stp>BDP|16368506816726425124</stp>
        <tr r="K13" s="2"/>
      </tp>
      <tp t="s">
        <v>#N/A Requesting Data...4292198928</v>
        <stp/>
        <stp>BDP|11743763786872070948</stp>
        <tr r="Q106" s="2"/>
      </tp>
      <tp t="s">
        <v>#N/A Requesting Data...4188050094</v>
        <stp/>
        <stp>BDP|13739260810441284409</stp>
        <tr r="G134" s="2"/>
      </tp>
      <tp t="s">
        <v>#N/A N/A</v>
        <stp/>
        <stp>BDP|11103404975042577527</stp>
        <tr r="D156" s="2"/>
      </tp>
      <tp t="s">
        <v>#N/A Requesting Data...4189830060</v>
        <stp/>
        <stp>BDP|13785842475790165951</stp>
        <tr r="K133" s="2"/>
      </tp>
      <tp t="s">
        <v>#N/A N/A</v>
        <stp/>
        <stp>BDP|16751341910642938389</stp>
        <tr r="C124" s="2"/>
      </tp>
      <tp t="s">
        <v>#N/A Requesting Data...4270417090</v>
        <stp/>
        <stp>BDP|13157761524745743668</stp>
        <tr r="T55" s="2"/>
      </tp>
      <tp t="s">
        <v>#N/A Requesting Data...4290933948</v>
        <stp/>
        <stp>BDP|15349157041063506601</stp>
        <tr r="X88" s="2"/>
      </tp>
      <tp t="s">
        <v>#N/A N/A</v>
        <stp/>
        <stp>BDP|13476080374586926732</stp>
        <tr r="C115" s="2"/>
      </tp>
      <tp t="s">
        <v>#N/A N/A</v>
        <stp/>
        <stp>BDP|12015674355621020503</stp>
        <tr r="D131" s="2"/>
      </tp>
      <tp t="s">
        <v>#N/A Requesting Data...4258115204</v>
        <stp/>
        <stp>BDP|14023432752041106120</stp>
        <tr r="J96" s="2"/>
      </tp>
      <tp t="s">
        <v>#N/A Requesting Data...4239686385</v>
        <stp/>
        <stp>BDP|13418781178783818598</stp>
        <tr r="P139" s="2"/>
      </tp>
      <tp t="s">
        <v>#N/A Requesting Data...4252346908</v>
        <stp/>
        <stp>BDP|16159126804195053721</stp>
        <tr r="J120" s="2"/>
      </tp>
      <tp t="s">
        <v>#N/A N/A</v>
        <stp/>
        <stp>BDP|17785798354499973979</stp>
        <tr r="D39" s="2"/>
      </tp>
      <tp t="s">
        <v>#N/A Requesting Data...4259628669</v>
        <stp/>
        <stp>BDP|13845209459800511103</stp>
        <tr r="K113" s="2"/>
      </tp>
      <tp t="s">
        <v>#N/A Requesting Data...4235551125</v>
        <stp/>
        <stp>BDP|12774744617500491149</stp>
        <tr r="T35" s="2"/>
      </tp>
      <tp t="s">
        <v>#N/A Requesting Data...4221305735</v>
        <stp/>
        <stp>BDP|16459486794057909956</stp>
        <tr r="N50" s="2"/>
      </tp>
      <tp t="s">
        <v>#N/A N/A</v>
        <stp/>
        <stp>BDP|14195326665137808394</stp>
        <tr r="I110" s="2"/>
      </tp>
      <tp t="s">
        <v>#N/A Requesting Data...4288207180</v>
        <stp/>
        <stp>BDP|12505110965331595133</stp>
        <tr r="P148" s="2"/>
      </tp>
      <tp t="s">
        <v>#N/A N/A</v>
        <stp/>
        <stp>BDP|16892194460166007261</stp>
        <tr r="B111" s="2"/>
      </tp>
      <tp t="s">
        <v>#N/A Requesting Data...4279847863</v>
        <stp/>
        <stp>BDP|13377673291638486167</stp>
        <tr r="Y147" s="2"/>
      </tp>
      <tp t="s">
        <v>#N/A Requesting Data...4245383783</v>
        <stp/>
        <stp>BDP|12243698053905678191</stp>
        <tr r="K160" s="2"/>
      </tp>
      <tp t="s">
        <v>#N/A N/A</v>
        <stp/>
        <stp>BDP|18210165893202455744</stp>
        <tr r="F43" s="2"/>
      </tp>
      <tp t="s">
        <v>#N/A N/A</v>
        <stp/>
        <stp>BDP|15739055480560364862</stp>
        <tr r="C125" s="2"/>
      </tp>
      <tp t="s">
        <v>#N/A Requesting Data...4238613318</v>
        <stp/>
        <stp>BDP|15528164780578415118</stp>
        <tr r="Y112" s="2"/>
      </tp>
      <tp t="s">
        <v>#N/A Requesting Data...4258364681</v>
        <stp/>
        <stp>BDP|17635530905814266347</stp>
        <tr r="G12" s="2"/>
      </tp>
      <tp t="s">
        <v>#N/A Requesting Data...4215608054</v>
        <stp/>
        <stp>BDP|10789719715551391265</stp>
        <tr r="K12" s="2"/>
      </tp>
      <tp t="s">
        <v>#N/A Requesting Data...4212047997</v>
        <stp/>
        <stp>BDP|10279530137435892688</stp>
        <tr r="X144" s="2"/>
      </tp>
      <tp t="s">
        <v>#N/A Requesting Data...4245135912</v>
        <stp/>
        <stp>BDP|11682540386348140138</stp>
        <tr r="T29" s="2"/>
      </tp>
      <tp t="s">
        <v>#N/A Requesting Data...4294091933</v>
        <stp/>
        <stp>BDP|11307370620090449561</stp>
        <tr r="Y82" s="2"/>
      </tp>
    </main>
    <main first="bofaddin.rtdserver">
      <tp t="s">
        <v>#N/A N/A</v>
        <stp/>
        <stp>BDP|3283140266869245</stp>
        <tr r="B99" s="2"/>
      </tp>
      <tp t="s">
        <v>#N/A Requesting Data...4224242609</v>
        <stp/>
        <stp>BDP|5497800847721842413</stp>
        <tr r="T63" s="2"/>
      </tp>
      <tp t="s">
        <v>#N/A Requesting Data...4235336299</v>
        <stp/>
        <stp>BDP|7699189780974761636</stp>
        <tr r="S25" s="2"/>
      </tp>
      <tp t="s">
        <v>#N/A N/A</v>
        <stp/>
        <stp>BDP|5879222590610489241</stp>
        <tr r="I9" s="2"/>
      </tp>
      <tp t="s">
        <v>#N/A N/A</v>
        <stp/>
        <stp>BDP|6374796298430018485</stp>
        <tr r="D79" s="2"/>
      </tp>
      <tp t="s">
        <v>#N/A Requesting Data...4260216915</v>
        <stp/>
        <stp>BDP|4661769740078871330</stp>
        <tr r="N123" s="2"/>
      </tp>
      <tp t="s">
        <v>#N/A N/A</v>
        <stp/>
        <stp>BDP|2373298796030614515</stp>
        <tr r="F103" s="2"/>
      </tp>
      <tp t="s">
        <v>#N/A N/A</v>
        <stp/>
        <stp>BDP|9695270376928456884</stp>
        <tr r="B68" s="2"/>
      </tp>
      <tp t="s">
        <v>#N/A N/A</v>
        <stp/>
        <stp>BDP|4116289345127389941</stp>
        <tr r="B18" s="2"/>
      </tp>
      <tp t="s">
        <v>#N/A Requesting Data...4277738213</v>
        <stp/>
        <stp>BDP|3445292807405457853</stp>
        <tr r="J27" s="2"/>
      </tp>
      <tp t="s">
        <v>#N/A N/A</v>
        <stp/>
        <stp>BDP|4527483185224571063</stp>
        <tr r="F92" s="2"/>
      </tp>
      <tp t="s">
        <v>#N/A Requesting Data...4273854985</v>
        <stp/>
        <stp>BDP|2221999447905163654</stp>
        <tr r="K49" s="2"/>
      </tp>
      <tp t="s">
        <v>#N/A Requesting Data...4272481370</v>
        <stp/>
        <stp>BDP|8091588362656479160</stp>
        <tr r="O96" s="2"/>
      </tp>
      <tp t="s">
        <v>#N/A Requesting Data...4283553326</v>
        <stp/>
        <stp>BDP|5869203795495278775</stp>
        <tr r="P137" s="2"/>
      </tp>
      <tp t="s">
        <v>#N/A Requesting Data...4261696791</v>
        <stp/>
        <stp>BDP|5427461732636050898</stp>
        <tr r="G43" s="2"/>
      </tp>
      <tp t="s">
        <v>#N/A N/A</v>
        <stp/>
        <stp>BDP|8708276508145417359</stp>
        <tr r="C103" s="2"/>
      </tp>
      <tp t="s">
        <v>#N/A Requesting Data...4281313184</v>
        <stp/>
        <stp>BDP|1669172785786462291</stp>
        <tr r="K99" s="2"/>
      </tp>
      <tp t="s">
        <v>#N/A Requesting Data...4247825808</v>
        <stp/>
        <stp>BDP|6571855413485249686</stp>
        <tr r="X68" s="2"/>
      </tp>
      <tp t="s">
        <v>#N/A N/A</v>
        <stp/>
        <stp>BDP|4675260796464875773</stp>
        <tr r="I99" s="2"/>
      </tp>
      <tp t="s">
        <v>#N/A N/A</v>
        <stp/>
        <stp>BDP|3854977101837207122</stp>
        <tr r="F33" s="2"/>
      </tp>
      <tp t="s">
        <v>#N/A Requesting Data...4254555568</v>
        <stp/>
        <stp>BDP|3522515289487690556</stp>
        <tr r="X125" s="2"/>
      </tp>
      <tp t="s">
        <v>#N/A N/A</v>
        <stp/>
        <stp>BDP|1104956468855093728</stp>
        <tr r="I60" s="2"/>
      </tp>
      <tp t="s">
        <v>#N/A Requesting Data...4267833610</v>
        <stp/>
        <stp>BDP|5168840518628024831</stp>
        <tr r="S149" s="2"/>
      </tp>
      <tp t="s">
        <v>#N/A Requesting Data...4235049947</v>
        <stp/>
        <stp>BDP|5109869449440300525</stp>
        <tr r="K137" s="2"/>
      </tp>
      <tp t="s">
        <v>#N/A N/A</v>
        <stp/>
        <stp>BDP|5035113754154863927</stp>
        <tr r="F74" s="2"/>
      </tp>
      <tp t="s">
        <v>#N/A N/A</v>
        <stp/>
        <stp>BDP|3176900439937039278</stp>
        <tr r="F158" s="2"/>
      </tp>
      <tp t="s">
        <v>#N/A N/A</v>
        <stp/>
        <stp>BDP|6187278888339171903</stp>
        <tr r="B72" s="2"/>
      </tp>
      <tp t="s">
        <v>#N/A Requesting Data...4248486910</v>
        <stp/>
        <stp>BDP|4405563328138331767</stp>
        <tr r="J131" s="2"/>
      </tp>
      <tp t="s">
        <v>#N/A N/A</v>
        <stp/>
        <stp>BDP|8545324747813856042</stp>
        <tr r="D35" s="2"/>
      </tp>
      <tp t="s">
        <v>#N/A N/A</v>
        <stp/>
        <stp>BDP|8852224578203765297</stp>
        <tr r="C117" s="2"/>
      </tp>
      <tp t="s">
        <v>#N/A N/A</v>
        <stp/>
        <stp>BDP|3235885213912326474</stp>
        <tr r="C43" s="2"/>
      </tp>
      <tp t="s">
        <v>#N/A Requesting Data...4279042325</v>
        <stp/>
        <stp>BDP|6973096521920406881</stp>
        <tr r="O127" s="2"/>
      </tp>
      <tp t="s">
        <v>#N/A Requesting Data...4274627857</v>
        <stp/>
        <stp>BDP|7672519479918691154</stp>
        <tr r="Q92" s="2"/>
      </tp>
      <tp t="s">
        <v>#N/A N/A</v>
        <stp/>
        <stp>BDP|2820846764982082259</stp>
        <tr r="D139" s="2"/>
      </tp>
      <tp t="s">
        <v>#N/A Requesting Data...4290915930</v>
        <stp/>
        <stp>BDP|7526403537214498842</stp>
        <tr r="G48" s="2"/>
      </tp>
      <tp t="s">
        <v>#N/A Requesting Data...4254444023</v>
        <stp/>
        <stp>BDP|1991976723601701788</stp>
        <tr r="O153" s="2"/>
      </tp>
      <tp t="s">
        <v>#N/A Requesting Data...4266012335</v>
        <stp/>
        <stp>BDP|7134095802093807805</stp>
        <tr r="N117" s="2"/>
      </tp>
      <tp t="s">
        <v>#N/A Requesting Data...4289619182</v>
        <stp/>
        <stp>BDP|6293994919126709478</stp>
        <tr r="P81" s="2"/>
      </tp>
      <tp t="s">
        <v>#N/A N/A</v>
        <stp/>
        <stp>BDP|7017535733868176523</stp>
        <tr r="D63" s="2"/>
      </tp>
      <tp t="s">
        <v>#N/A Requesting Data...4279400077</v>
        <stp/>
        <stp>BDP|2035561248767527887</stp>
        <tr r="O162" s="2"/>
      </tp>
      <tp t="s">
        <v>#N/A N/A</v>
        <stp/>
        <stp>BDP|6573356492083273336</stp>
        <tr r="B82" s="2"/>
      </tp>
      <tp t="s">
        <v>#N/A Requesting Data...4275641048</v>
        <stp/>
        <stp>BDP|2987299994363445636</stp>
        <tr r="O85" s="2"/>
      </tp>
      <tp t="s">
        <v>#N/A Requesting Data...4277057792</v>
        <stp/>
        <stp>BDP|8797563810897142735</stp>
        <tr r="Q49" s="2"/>
      </tp>
      <tp t="s">
        <v>#N/A N/A</v>
        <stp/>
        <stp>BDP|1506164081074253032</stp>
        <tr r="B39" s="2"/>
      </tp>
      <tp t="s">
        <v>#N/A Requesting Data...4257206071</v>
        <stp/>
        <stp>BDP|3286465837010698866</stp>
        <tr r="J54" s="2"/>
      </tp>
      <tp t="s">
        <v>#N/A N/A</v>
        <stp/>
        <stp>BDP|5466140275108553709</stp>
        <tr r="C50" s="2"/>
      </tp>
      <tp t="s">
        <v>#N/A Requesting Data...4294708873</v>
        <stp/>
        <stp>BDP|2806125559308397205</stp>
        <tr r="N145" s="2"/>
      </tp>
      <tp t="s">
        <v>#N/A Requesting Data...4260254188</v>
        <stp/>
        <stp>BDP|3583868114945510322</stp>
        <tr r="Y156" s="2"/>
      </tp>
      <tp t="s">
        <v>#N/A N/A</v>
        <stp/>
        <stp>BDP|6598162982004450753</stp>
        <tr r="I57" s="2"/>
      </tp>
      <tp t="s">
        <v>#N/A N/A</v>
        <stp/>
        <stp>BDP|8461574946402186741</stp>
        <tr r="I102" s="2"/>
      </tp>
      <tp t="s">
        <v>#N/A Requesting Data...4291652208</v>
        <stp/>
        <stp>BDP|7087047132158705007</stp>
        <tr r="S44" s="2"/>
      </tp>
      <tp t="s">
        <v>#N/A N/A</v>
        <stp/>
        <stp>BDP|7948346229449009358</stp>
        <tr r="F71" s="2"/>
      </tp>
      <tp t="s">
        <v>#N/A Requesting Data...4287572323</v>
        <stp/>
        <stp>BDP|1510993846389800932</stp>
        <tr r="G143" s="2"/>
      </tp>
      <tp t="s">
        <v>#N/A Requesting Data...4288183263</v>
        <stp/>
        <stp>BDP|2131330475582772816</stp>
        <tr r="Q98" s="2"/>
      </tp>
      <tp t="s">
        <v>#N/A Requesting Data...4293563651</v>
        <stp/>
        <stp>BDP|2794735625329439236</stp>
        <tr r="P5" s="2"/>
      </tp>
      <tp t="s">
        <v>#N/A N/A</v>
        <stp/>
        <stp>BDP|4212387958796184855</stp>
        <tr r="C55" s="2"/>
      </tp>
      <tp t="s">
        <v>#N/A N/A</v>
        <stp/>
        <stp>BDP|6371167568985878830</stp>
        <tr r="I27" s="2"/>
      </tp>
      <tp t="s">
        <v>#N/A Requesting Data...4271873233</v>
        <stp/>
        <stp>BDP|6822888376294848182</stp>
        <tr r="P118" s="2"/>
      </tp>
      <tp t="s">
        <v>#N/A Requesting Data...4288697516</v>
        <stp/>
        <stp>BDP|8625422240706528274</stp>
        <tr r="T38" s="2"/>
      </tp>
      <tp t="s">
        <v>#N/A Requesting Data...4292304749</v>
        <stp/>
        <stp>BDP|8812196942786238772</stp>
        <tr r="S129" s="2"/>
      </tp>
      <tp t="s">
        <v>#N/A Requesting Data...4288339121</v>
        <stp/>
        <stp>BDP|8153459546973004746</stp>
        <tr r="G137" s="2"/>
      </tp>
      <tp t="s">
        <v>#N/A Requesting Data...4293680645</v>
        <stp/>
        <stp>BDP|8855133600172960744</stp>
        <tr r="N27" s="2"/>
      </tp>
      <tp t="s">
        <v>#N/A Requesting Data...4283134234</v>
        <stp/>
        <stp>BDP|4919610159478718301</stp>
        <tr r="Q160" s="2"/>
      </tp>
      <tp t="s">
        <v>#N/A N/A</v>
        <stp/>
        <stp>BDP|7012920328119415986</stp>
        <tr r="B13" s="2"/>
      </tp>
      <tp t="s">
        <v>#N/A Requesting Data...4284427928</v>
        <stp/>
        <stp>BDP|1262927602943406711</stp>
        <tr r="J143" s="2"/>
      </tp>
      <tp t="s">
        <v>#N/A N/A</v>
        <stp/>
        <stp>BDP|3133828120267219262</stp>
        <tr r="C145" s="2"/>
      </tp>
      <tp t="s">
        <v>#N/A Requesting Data...4275793411</v>
        <stp/>
        <stp>BDP|6023857904201604308</stp>
        <tr r="S137" s="2"/>
      </tp>
      <tp t="s">
        <v>#N/A N/A</v>
        <stp/>
        <stp>BDP|1507809822993266428</stp>
        <tr r="I92" s="2"/>
      </tp>
      <tp t="s">
        <v>#N/A Requesting Data...4286065295</v>
        <stp/>
        <stp>BDP|7721742825847697970</stp>
        <tr r="G91" s="2"/>
      </tp>
      <tp t="s">
        <v>#N/A Requesting Data...4290325283</v>
        <stp/>
        <stp>BDP|6107186003103511886</stp>
        <tr r="P73" s="2"/>
      </tp>
      <tp t="s">
        <v>#N/A Requesting Data...4287091955</v>
        <stp/>
        <stp>BDP|4429724918357092998</stp>
        <tr r="T98" s="2"/>
      </tp>
      <tp t="s">
        <v>#N/A N/A</v>
        <stp/>
        <stp>BDP|8967930982730740581</stp>
        <tr r="C10" s="2"/>
      </tp>
      <tp t="s">
        <v>#N/A Requesting Data...4285033540</v>
        <stp/>
        <stp>BDP|7627312896504327551</stp>
        <tr r="J18" s="2"/>
      </tp>
      <tp t="s">
        <v>#N/A Requesting Data...4283853721</v>
        <stp/>
        <stp>BDP|7048827796219977399</stp>
        <tr r="G148" s="2"/>
      </tp>
      <tp t="s">
        <v>#N/A Requesting Data...4288685523</v>
        <stp/>
        <stp>BDP|7516849582443733801</stp>
        <tr r="G64" s="2"/>
      </tp>
      <tp t="s">
        <v>#N/A N/A</v>
        <stp/>
        <stp>BDP|9558039447244581507</stp>
        <tr r="F15" s="2"/>
      </tp>
      <tp t="s">
        <v>#N/A Requesting Data...4285941371</v>
        <stp/>
        <stp>BDP|4454271525158729053</stp>
        <tr r="Q130" s="2"/>
      </tp>
      <tp t="s">
        <v>#N/A Requesting Data...4287083624</v>
        <stp/>
        <stp>BDP|4908910162624870365</stp>
        <tr r="Q76" s="2"/>
      </tp>
      <tp t="s">
        <v>#N/A Requesting Data...4293572782</v>
        <stp/>
        <stp>BDP|1082075467578318368</stp>
        <tr r="Q141" s="2"/>
      </tp>
      <tp t="s">
        <v>#N/A Requesting Data...4288989719</v>
        <stp/>
        <stp>BDP|8961838403648835448</stp>
        <tr r="J14" s="2"/>
      </tp>
      <tp t="s">
        <v>#N/A Requesting Data...4292346176</v>
        <stp/>
        <stp>BDP|6596148955749207735</stp>
        <tr r="J100" s="2"/>
      </tp>
      <tp t="s">
        <v>#N/A Requesting Data...4294269727</v>
        <stp/>
        <stp>BDP|1306814637270770788</stp>
        <tr r="G9" s="2"/>
      </tp>
      <tp t="s">
        <v>#N/A Requesting Data...4294170934</v>
        <stp/>
        <stp>BDP|5985516872188824280</stp>
        <tr r="O142" s="2"/>
      </tp>
      <tp t="s">
        <v>#N/A Requesting Data...4294618090</v>
        <stp/>
        <stp>BDP|3725705297610237084</stp>
        <tr r="G98" s="2"/>
      </tp>
      <tp t="s">
        <v>#N/A Requesting Data...879413863</v>
        <stp/>
        <stp>BDP|7479976023786983738</stp>
        <tr r="G139" s="2"/>
      </tp>
      <tp t="s">
        <v>#N/A N/A</v>
        <stp/>
        <stp>BDP|8489053749464615548</stp>
        <tr r="I136" s="2"/>
      </tp>
      <tp t="s">
        <v>#N/A Requesting Data...2302505598</v>
        <stp/>
        <stp>BDP|9790489410312219361</stp>
        <tr r="Y13" s="2"/>
      </tp>
      <tp t="s">
        <v>#N/A Requesting Data...2290084184</v>
        <stp/>
        <stp>BDP|8060481991209064120</stp>
        <tr r="O139" s="2"/>
      </tp>
      <tp t="s">
        <v>#N/A N/A</v>
        <stp/>
        <stp>BDP|3704883801867618100</stp>
        <tr r="F10" s="2"/>
      </tp>
      <tp t="s">
        <v>#N/A Requesting Data...532894400</v>
        <stp/>
        <stp>BDP|8569024200113965668</stp>
        <tr r="G55" s="2"/>
      </tp>
      <tp t="s">
        <v>#N/A N/A</v>
        <stp/>
        <stp>BDP|3349241761648653288</stp>
        <tr r="F67" s="2"/>
      </tp>
      <tp t="s">
        <v>#N/A Requesting Data...3785838492</v>
        <stp/>
        <stp>BDP|9547068202912943601</stp>
        <tr r="G66" s="2"/>
      </tp>
      <tp t="s">
        <v>#N/A Requesting Data...667662146</v>
        <stp/>
        <stp>BDP|7832934917214334674</stp>
        <tr r="S38" s="2"/>
      </tp>
      <tp t="s">
        <v>#N/A Requesting Data...4106776613</v>
        <stp/>
        <stp>BDP|6979808533747169739</stp>
        <tr r="T133" s="2"/>
      </tp>
      <tp t="s">
        <v>#N/A Requesting Data...2446180091</v>
        <stp/>
        <stp>BDP|8498645808880074304</stp>
        <tr r="O63" s="2"/>
      </tp>
      <tp t="s">
        <v>#N/A N/A</v>
        <stp/>
        <stp>BDP|1278602837641985850</stp>
        <tr r="B150" s="2"/>
      </tp>
      <tp t="s">
        <v>#N/A N/A</v>
        <stp/>
        <stp>BDP|1702173210479859518</stp>
        <tr r="B136" s="2"/>
      </tp>
      <tp t="s">
        <v>#N/A Requesting Data...36781388</v>
        <stp/>
        <stp>BDP|9637210319930437736</stp>
        <tr r="O115" s="2"/>
      </tp>
      <tp t="s">
        <v>#N/A Requesting Data...1845180291</v>
        <stp/>
        <stp>BDP|4928934427615160759</stp>
        <tr r="T26" s="2"/>
      </tp>
      <tp t="s">
        <v>#N/A N/A</v>
        <stp/>
        <stp>BDP|5640108568448319748</stp>
        <tr r="C28" s="2"/>
      </tp>
      <tp t="s">
        <v>#N/A Requesting Data...2451059435</v>
        <stp/>
        <stp>BDP|9734421989460129844</stp>
        <tr r="X61" s="2"/>
      </tp>
      <tp t="s">
        <v>#N/A Requesting Data...1582509779</v>
        <stp/>
        <stp>BDP|8557865586966990353</stp>
        <tr r="K61" s="2"/>
      </tp>
      <tp t="s">
        <v>#N/A Requesting Data...3091259737</v>
        <stp/>
        <stp>BDP|6333286794702235238</stp>
        <tr r="O6" s="2"/>
      </tp>
      <tp t="s">
        <v>#N/A N/A</v>
        <stp/>
        <stp>BDP|8502173079583194043</stp>
        <tr r="I159" s="2"/>
      </tp>
      <tp t="s">
        <v>#N/A Requesting Data...3665163701</v>
        <stp/>
        <stp>BDP|8927439235957290534</stp>
        <tr r="Y76" s="2"/>
      </tp>
      <tp t="s">
        <v>#N/A Requesting Data...3392894471</v>
        <stp/>
        <stp>BDP|9835166314167477302</stp>
        <tr r="O106" s="2"/>
      </tp>
      <tp t="s">
        <v>#N/A N/A</v>
        <stp/>
        <stp>BDP|3337109330489993546</stp>
        <tr r="F19" s="2"/>
      </tp>
      <tp t="s">
        <v>#N/A N/A</v>
        <stp/>
        <stp>BDP|5716310214178832240</stp>
        <tr r="D13" s="2"/>
      </tp>
      <tp t="s">
        <v>#N/A Requesting Data...351779280</v>
        <stp/>
        <stp>BDP|4365387670339113441</stp>
        <tr r="O114" s="2"/>
      </tp>
      <tp t="s">
        <v>#N/A Requesting Data...2040738490</v>
        <stp/>
        <stp>BDP|8441645085228898322</stp>
        <tr r="Y56" s="2"/>
      </tp>
      <tp t="s">
        <v>#N/A N/A</v>
        <stp/>
        <stp>BDP|5859729543773288843</stp>
        <tr r="B47" s="2"/>
      </tp>
      <tp t="s">
        <v>#N/A Requesting Data...2813749956</v>
        <stp/>
        <stp>BDP|2704706649728037415</stp>
        <tr r="X122" s="2"/>
      </tp>
      <tp t="s">
        <v>#N/A Requesting Data...2140994569</v>
        <stp/>
        <stp>BDP|6737893617676334452</stp>
        <tr r="N12" s="2"/>
      </tp>
      <tp t="s">
        <v>#N/A Requesting Data...2141853730</v>
        <stp/>
        <stp>BDP|5004330329960316955</stp>
        <tr r="O22" s="2"/>
      </tp>
      <tp t="s">
        <v>#N/A N/A</v>
        <stp/>
        <stp>BDP|8550291916063684501</stp>
        <tr r="B159" s="2"/>
      </tp>
      <tp t="s">
        <v>#N/A Requesting Data...1869392530</v>
        <stp/>
        <stp>BDP|2968233587651579445</stp>
        <tr r="T43" s="2"/>
      </tp>
      <tp t="s">
        <v>#N/A N/A</v>
        <stp/>
        <stp>BDP|6854980535229139880</stp>
        <tr r="I66" s="2"/>
      </tp>
      <tp t="s">
        <v>#N/A Requesting Data...352272037</v>
        <stp/>
        <stp>BDP|7354986239749672998</stp>
        <tr r="X114" s="2"/>
      </tp>
      <tp t="s">
        <v>#N/A Requesting Data...437970365</v>
        <stp/>
        <stp>BDP|4462398177315700801</stp>
        <tr r="Q64" s="2"/>
      </tp>
      <tp t="s">
        <v>#N/A N/A</v>
        <stp/>
        <stp>BDP|9356126241941981043</stp>
        <tr r="I65" s="2"/>
      </tp>
      <tp t="s">
        <v>#N/A Requesting Data...936275027</v>
        <stp/>
        <stp>BDP|5090479799163484679</stp>
        <tr r="K148" s="2"/>
      </tp>
      <tp t="s">
        <v>#N/A N/A</v>
        <stp/>
        <stp>BDP|5631447908894176892</stp>
        <tr r="F59" s="2"/>
      </tp>
      <tp t="s">
        <v>#N/A N/A</v>
        <stp/>
        <stp>BDP|5093173450548370463</stp>
        <tr r="C120" s="2"/>
      </tp>
      <tp t="s">
        <v>#N/A N/A</v>
        <stp/>
        <stp>BDP|5271006816030238948</stp>
        <tr r="I158" s="2"/>
      </tp>
      <tp t="s">
        <v>#N/A Requesting Data...1958325429</v>
        <stp/>
        <stp>BDP|7417643086250734430</stp>
        <tr r="X136" s="2"/>
      </tp>
      <tp t="s">
        <v>#N/A Requesting Data...2110425928</v>
        <stp/>
        <stp>BDP|1382897231226873102</stp>
        <tr r="T157" s="2"/>
      </tp>
      <tp t="s">
        <v>#N/A Requesting Data...2918528849</v>
        <stp/>
        <stp>BDP|5770007698900999158</stp>
        <tr r="X120" s="2"/>
      </tp>
      <tp t="s">
        <v>#N/A Requesting Data...3747500831</v>
        <stp/>
        <stp>BDP|4856191861629397703</stp>
        <tr r="S101" s="2"/>
      </tp>
      <tp t="s">
        <v>#N/A Requesting Data...3627537818</v>
        <stp/>
        <stp>BDP|5705172511239774156</stp>
        <tr r="X45" s="2"/>
      </tp>
      <tp t="s">
        <v>#N/A Requesting Data...1921460138</v>
        <stp/>
        <stp>BDP|9630965673032767870</stp>
        <tr r="J11" s="2"/>
      </tp>
      <tp t="s">
        <v>#N/A N/A</v>
        <stp/>
        <stp>BDP|3433554082070236322</stp>
        <tr r="I162" s="2"/>
      </tp>
      <tp t="s">
        <v>#N/A Requesting Data...1080687476</v>
        <stp/>
        <stp>BDP|7943809801314938617</stp>
        <tr r="O56" s="2"/>
      </tp>
      <tp t="s">
        <v>#N/A Requesting Data...998678139</v>
        <stp/>
        <stp>BDP|8989616132322833221</stp>
        <tr r="K124" s="2"/>
      </tp>
      <tp t="s">
        <v>#N/A Requesting Data...1969240006</v>
        <stp/>
        <stp>BDP|6574840701642642165</stp>
        <tr r="P59" s="2"/>
      </tp>
      <tp t="s">
        <v>#N/A Requesting Data...1669600895</v>
        <stp/>
        <stp>BDP|9497938023069750630</stp>
        <tr r="J2" s="2"/>
      </tp>
      <tp t="s">
        <v>#N/A Requesting Data...2679698836</v>
        <stp/>
        <stp>BDP|3719809812927035055</stp>
        <tr r="P110" s="2"/>
      </tp>
      <tp t="s">
        <v>#N/A Requesting Data...2692625142</v>
        <stp/>
        <stp>BDP|5573833350844400135</stp>
        <tr r="S148" s="2"/>
      </tp>
      <tp t="s">
        <v>#N/A Requesting Data...2762443075</v>
        <stp/>
        <stp>BDP|6942904325953883350</stp>
        <tr r="G16" s="2"/>
      </tp>
      <tp t="s">
        <v>#N/A N/A</v>
        <stp/>
        <stp>BDP|7770999425198267988</stp>
        <tr r="I100" s="2"/>
      </tp>
      <tp t="s">
        <v>#N/A Requesting Data...2288265631</v>
        <stp/>
        <stp>BDP|1197932843788550959</stp>
        <tr r="G140" s="2"/>
      </tp>
      <tp t="s">
        <v>#N/A Requesting Data...1168584404</v>
        <stp/>
        <stp>BDP|9550149216073297742</stp>
        <tr r="T4" s="2"/>
      </tp>
      <tp t="s">
        <v>#N/A Requesting Data...1915816654</v>
        <stp/>
        <stp>BDP|9315109270460574203</stp>
        <tr r="T48" s="2"/>
      </tp>
      <tp t="s">
        <v>#N/A Requesting Data...2247124253</v>
        <stp/>
        <stp>BDP|7225318607421441865</stp>
        <tr r="P43" s="2"/>
      </tp>
      <tp t="s">
        <v>#N/A N/A</v>
        <stp/>
        <stp>BDP|4019626196886289009</stp>
        <tr r="F37" s="2"/>
      </tp>
      <tp t="s">
        <v>#N/A Requesting Data...857418550</v>
        <stp/>
        <stp>BDP|2910238704568899505</stp>
        <tr r="S5" s="2"/>
      </tp>
      <tp t="s">
        <v>#N/A N/A</v>
        <stp/>
        <stp>BDP|8289134038653888477</stp>
        <tr r="D75" s="2"/>
      </tp>
      <tp t="s">
        <v>#N/A Requesting Data...2048117726</v>
        <stp/>
        <stp>BDP|3469744922572546916</stp>
        <tr r="O123" s="2"/>
      </tp>
      <tp t="s">
        <v>#N/A Requesting Data...1888682686</v>
        <stp/>
        <stp>BDP|3880901529557389243</stp>
        <tr r="X35" s="2"/>
      </tp>
      <tp t="s">
        <v>#N/A Requesting Data...2579819402</v>
        <stp/>
        <stp>BDP|4920224580551533286</stp>
        <tr r="T60" s="2"/>
      </tp>
      <tp t="s">
        <v>#N/A Requesting Data...1706152931</v>
        <stp/>
        <stp>BDP|5981442184715844161</stp>
        <tr r="X161" s="2"/>
      </tp>
      <tp t="s">
        <v>#N/A Requesting Data...2877007366</v>
        <stp/>
        <stp>BDP|9583797578231056535</stp>
        <tr r="P17" s="2"/>
      </tp>
      <tp t="s">
        <v>#N/A N/A</v>
        <stp/>
        <stp>BDP|5230261426469525108</stp>
        <tr r="I127" s="2"/>
      </tp>
      <tp t="s">
        <v>#N/A Requesting Data...1114376781</v>
        <stp/>
        <stp>BDP|7659545179718420086</stp>
        <tr r="J15" s="2"/>
      </tp>
      <tp t="s">
        <v>#N/A Requesting Data...783734307</v>
        <stp/>
        <stp>BDP|1421532567506105967</stp>
        <tr r="K56" s="2"/>
      </tp>
      <tp t="s">
        <v>#N/A Requesting Data...2915397303</v>
        <stp/>
        <stp>BDP|7706973027146565760</stp>
        <tr r="J57" s="2"/>
      </tp>
      <tp t="s">
        <v>#N/A Requesting Data...725473368</v>
        <stp/>
        <stp>BDP|4453537487130501415</stp>
        <tr r="Q107" s="2"/>
      </tp>
      <tp t="s">
        <v>#N/A N/A</v>
        <stp/>
        <stp>BDP|8226048364995604618</stp>
        <tr r="I38" s="2"/>
      </tp>
      <tp t="s">
        <v>#N/A N/A</v>
        <stp/>
        <stp>BDP|1213145272529681374</stp>
        <tr r="I46" s="2"/>
      </tp>
      <tp t="s">
        <v>#N/A Requesting Data...1385747524</v>
        <stp/>
        <stp>BDP|7682948034435135528</stp>
        <tr r="Y59" s="2"/>
      </tp>
      <tp t="s">
        <v>#N/A N/A</v>
        <stp/>
        <stp>BDP|9381410468115891376</stp>
        <tr r="D106" s="2"/>
      </tp>
      <tp t="s">
        <v>#N/A Requesting Data...3759419770</v>
        <stp/>
        <stp>BDP|9370096181167296831</stp>
        <tr r="X38" s="2"/>
      </tp>
      <tp t="s">
        <v>#N/A Requesting Data...3526258098</v>
        <stp/>
        <stp>BDP|4316897405930112246</stp>
        <tr r="T40" s="2"/>
      </tp>
      <tp t="s">
        <v>#N/A N/A</v>
        <stp/>
        <stp>BDP|8725871515388738789</stp>
        <tr r="C15" s="2"/>
      </tp>
      <tp t="s">
        <v>#N/A Requesting Data...2579231244</v>
        <stp/>
        <stp>BDP|4639162568999447461</stp>
        <tr r="K134" s="2"/>
      </tp>
      <tp t="s">
        <v>#N/A Requesting Data...649996931</v>
        <stp/>
        <stp>BDP|4168008531998863122</stp>
        <tr r="J91" s="2"/>
      </tp>
      <tp t="s">
        <v>#N/A Requesting Data...1723731442</v>
        <stp/>
        <stp>BDP|5871304553339466454</stp>
        <tr r="S19" s="2"/>
      </tp>
      <tp t="s">
        <v>#N/A Requesting Data...2958601136</v>
        <stp/>
        <stp>BDP|9649001908921671633</stp>
        <tr r="K108" s="2"/>
      </tp>
      <tp t="s">
        <v>#N/A Requesting Data...3573568831</v>
        <stp/>
        <stp>BDP|6697982754004977086</stp>
        <tr r="O4" s="2"/>
      </tp>
      <tp t="s">
        <v>#N/A N/A</v>
        <stp/>
        <stp>BDP|1988731071156711976</stp>
        <tr r="D15" s="2"/>
      </tp>
      <tp t="s">
        <v>#N/A Requesting Data...428666195</v>
        <stp/>
        <stp>BDP|8028735603620361180</stp>
        <tr r="S139" s="2"/>
      </tp>
      <tp t="s">
        <v>#N/A Requesting Data...555037770</v>
        <stp/>
        <stp>BDP|2524903154783001398</stp>
        <tr r="J160" s="2"/>
      </tp>
      <tp t="s">
        <v>#N/A Requesting Data...2143947808</v>
        <stp/>
        <stp>BDP|7724665394696976048</stp>
        <tr r="Y26" s="2"/>
      </tp>
      <tp t="s">
        <v>#N/A Requesting Data...236261599</v>
        <stp/>
        <stp>BDP|8377925078411082918</stp>
        <tr r="N162" s="2"/>
      </tp>
      <tp t="s">
        <v>#N/A Requesting Data...2212697497</v>
        <stp/>
        <stp>BDP|8137121805434721392</stp>
        <tr r="Q73" s="2"/>
      </tp>
      <tp t="s">
        <v>#N/A N/A</v>
        <stp/>
        <stp>BDP|1724543581827875539</stp>
        <tr r="I23" s="2"/>
      </tp>
      <tp t="s">
        <v>#N/A Requesting Data...412456011</v>
        <stp/>
        <stp>BDP|6667619704457504981</stp>
        <tr r="J141" s="2"/>
      </tp>
      <tp t="s">
        <v>#N/A N/A</v>
        <stp/>
        <stp>BDP|5153325382728776886</stp>
        <tr r="F95" s="2"/>
      </tp>
      <tp t="s">
        <v>#N/A N/A</v>
        <stp/>
        <stp>BDP|9674870003226533990</stp>
        <tr r="D41" s="2"/>
      </tp>
      <tp t="s">
        <v>#N/A Requesting Data...1274583782</v>
        <stp/>
        <stp>BDP|3831298654142284883</stp>
        <tr r="Q125" s="2"/>
      </tp>
      <tp t="s">
        <v>#N/A Requesting Data...802979689</v>
        <stp/>
        <stp>BDP|8568442213015806650</stp>
        <tr r="N158" s="2"/>
      </tp>
      <tp t="s">
        <v>#N/A N/A</v>
        <stp/>
        <stp>BDP|5258275106488910152</stp>
        <tr r="C92" s="2"/>
      </tp>
      <tp t="s">
        <v>#N/A Requesting Data...3040148187</v>
        <stp/>
        <stp>BDP|3527958275943182082</stp>
        <tr r="S66" s="2"/>
      </tp>
      <tp t="s">
        <v>#N/A Requesting Data...3807332473</v>
        <stp/>
        <stp>BDP|8102339878167109577</stp>
        <tr r="N62" s="2"/>
      </tp>
      <tp t="s">
        <v>#N/A N/A</v>
        <stp/>
        <stp>BDP|5858556893284003324</stp>
        <tr r="C63" s="2"/>
      </tp>
      <tp t="s">
        <v>#N/A Requesting Data...1805913008</v>
        <stp/>
        <stp>BDP|2492975758597653707</stp>
        <tr r="N71" s="2"/>
      </tp>
      <tp t="s">
        <v>#N/A Requesting Data...2970074463</v>
        <stp/>
        <stp>BDP|4294097581254552626</stp>
        <tr r="O101" s="2"/>
      </tp>
      <tp t="s">
        <v>#N/A N/A</v>
        <stp/>
        <stp>BDP|7718118731629704226</stp>
        <tr r="C9" s="2"/>
      </tp>
      <tp t="s">
        <v>#N/A Requesting Data...565065401</v>
        <stp/>
        <stp>BDP|2267879416180337526</stp>
        <tr r="G19" s="2"/>
      </tp>
      <tp t="s">
        <v>#N/A Requesting Data...2373261091</v>
        <stp/>
        <stp>BDP|7975876727655326684</stp>
        <tr r="K116" s="2"/>
      </tp>
      <tp t="s">
        <v>#N/A Requesting Data...3347693818</v>
        <stp/>
        <stp>BDP|4921486730525477877</stp>
        <tr r="O54" s="2"/>
      </tp>
      <tp t="s">
        <v>#N/A N/A</v>
        <stp/>
        <stp>BDP|4255545774968992095</stp>
        <tr r="F56" s="2"/>
      </tp>
      <tp t="s">
        <v>#N/A N/A</v>
        <stp/>
        <stp>BDP|5709958244020673629</stp>
        <tr r="D65" s="2"/>
      </tp>
      <tp t="s">
        <v>#N/A Requesting Data...3056078087</v>
        <stp/>
        <stp>BDP|4026996562763895602</stp>
        <tr r="G63" s="2"/>
      </tp>
      <tp t="s">
        <v>#N/A Requesting Data...1436936499</v>
        <stp/>
        <stp>BDP|6316117473136199836</stp>
        <tr r="J20" s="2"/>
      </tp>
      <tp t="s">
        <v>#N/A Requesting Data...3601535054</v>
        <stp/>
        <stp>BDP|8621185302566970164</stp>
        <tr r="Q70" s="2"/>
      </tp>
      <tp t="s">
        <v>#N/A N/A</v>
        <stp/>
        <stp>BDP|3494973755504675538</stp>
        <tr r="F120" s="2"/>
      </tp>
      <tp t="s">
        <v>#N/A Requesting Data...3301945095</v>
        <stp/>
        <stp>BDP|6954792442123569843</stp>
        <tr r="O44" s="2"/>
      </tp>
      <tp t="s">
        <v>#N/A Requesting Data...3932995935</v>
        <stp/>
        <stp>BDP|9131647402154302570</stp>
        <tr r="T76" s="2"/>
      </tp>
      <tp t="s">
        <v>#N/A Requesting Data...3800928112</v>
        <stp/>
        <stp>BDP|4666578965648198158</stp>
        <tr r="J60" s="2"/>
      </tp>
      <tp t="s">
        <v>#N/A N/A</v>
        <stp/>
        <stp>BDP|1988815868320437140</stp>
        <tr r="C20" s="2"/>
      </tp>
      <tp t="s">
        <v>#N/A N/A</v>
        <stp/>
        <stp>BDP|3401313467779029128</stp>
        <tr r="B121" s="2"/>
      </tp>
      <tp t="s">
        <v>#N/A Requesting Data...1667929611</v>
        <stp/>
        <stp>BDP|2503367892253279536</stp>
        <tr r="K29" s="2"/>
      </tp>
      <tp t="s">
        <v>#N/A Requesting Data...223389057</v>
        <stp/>
        <stp>BDP|9301629875345732328</stp>
        <tr r="K154" s="2"/>
      </tp>
      <tp t="s">
        <v>#N/A Requesting Data...723661894</v>
        <stp/>
        <stp>BDP|3795052792936067216</stp>
        <tr r="O160" s="2"/>
      </tp>
      <tp t="s">
        <v>#N/A N/A</v>
        <stp/>
        <stp>BDP|3008147790822341769</stp>
        <tr r="B107" s="2"/>
      </tp>
      <tp t="s">
        <v>#N/A Requesting Data...2719038565</v>
        <stp/>
        <stp>BDP|7740344949099845730</stp>
        <tr r="Y114" s="2"/>
      </tp>
      <tp t="s">
        <v>#N/A Requesting Data...1312850741</v>
        <stp/>
        <stp>BDP|7424118181876232608</stp>
        <tr r="P23" s="2"/>
      </tp>
      <tp t="s">
        <v>#N/A Requesting Data...1980911555</v>
        <stp/>
        <stp>BDP|9956933895216983104</stp>
        <tr r="J154" s="2"/>
      </tp>
      <tp t="s">
        <v>#N/A Requesting Data...2060384148</v>
        <stp/>
        <stp>BDP|6326827567705619368</stp>
        <tr r="N130" s="2"/>
      </tp>
      <tp t="s">
        <v>#N/A N/A</v>
        <stp/>
        <stp>BDP|4926867542334294293</stp>
        <tr r="B52" s="2"/>
      </tp>
      <tp t="s">
        <v>#N/A N/A</v>
        <stp/>
        <stp>BDP|9260020661399647812</stp>
        <tr r="I20" s="2"/>
      </tp>
      <tp t="s">
        <v>#N/A Requesting Data...1846438465</v>
        <stp/>
        <stp>BDP|7712176844288578476</stp>
        <tr r="Q142" s="2"/>
      </tp>
      <tp t="s">
        <v>#N/A Requesting Data...4078141049</v>
        <stp/>
        <stp>BDP|3252127594301562471</stp>
        <tr r="P24" s="2"/>
      </tp>
      <tp t="s">
        <v>#N/A N/A</v>
        <stp/>
        <stp>BDP|7797481437759753782</stp>
        <tr r="D14" s="2"/>
      </tp>
      <tp t="s">
        <v>#N/A N/A</v>
        <stp/>
        <stp>BDP|2212512895423267332</stp>
        <tr r="F113" s="2"/>
      </tp>
      <tp t="s">
        <v>#N/A N/A</v>
        <stp/>
        <stp>BDP|4340704063938423301</stp>
        <tr r="D34" s="2"/>
      </tp>
      <tp t="s">
        <v>#N/A Requesting Data...1528925394</v>
        <stp/>
        <stp>BDP|8125083941126476489</stp>
        <tr r="P38" s="2"/>
      </tp>
      <tp t="s">
        <v>#N/A N/A</v>
        <stp/>
        <stp>BDP|1067844912130097629</stp>
        <tr r="F122" s="2"/>
      </tp>
      <tp t="s">
        <v>#N/A Requesting Data...1969342688</v>
        <stp/>
        <stp>BDP|8003841752378020327</stp>
        <tr r="Q46" s="2"/>
      </tp>
      <tp t="s">
        <v>#N/A Requesting Data...3914242511</v>
        <stp/>
        <stp>BDP|1583420555059042775</stp>
        <tr r="N39" s="2"/>
      </tp>
      <tp t="s">
        <v>#N/A Requesting Data...2186082129</v>
        <stp/>
        <stp>BDP|1114691489468384974</stp>
        <tr r="N92" s="2"/>
      </tp>
      <tp t="s">
        <v>#N/A N/A</v>
        <stp/>
        <stp>BDP|1333867338306893205</stp>
        <tr r="D159" s="2"/>
      </tp>
      <tp t="s">
        <v>#N/A N/A</v>
        <stp/>
        <stp>BDP|4519360081407394646</stp>
        <tr r="D150" s="2"/>
      </tp>
      <tp t="s">
        <v>#N/A N/A</v>
        <stp/>
        <stp>BDP|2590295318808179709</stp>
        <tr r="I40" s="2"/>
      </tp>
      <tp t="s">
        <v>#N/A Requesting Data...349150415</v>
        <stp/>
        <stp>BDP|5574520337928138543</stp>
        <tr r="N38" s="2"/>
      </tp>
      <tp t="s">
        <v>#N/A Requesting Data...2571873416</v>
        <stp/>
        <stp>BDP|3549822862521944296</stp>
        <tr r="T149" s="2"/>
      </tp>
      <tp t="s">
        <v>#N/A Requesting Data...4173544777</v>
        <stp/>
        <stp>BDP|3109938264103685151</stp>
        <tr r="Y70" s="2"/>
      </tp>
      <tp t="s">
        <v>#N/A Requesting Data...1252820329</v>
        <stp/>
        <stp>BDP|8590237001065087124</stp>
        <tr r="Y79" s="2"/>
      </tp>
      <tp t="s">
        <v>#N/A Requesting Data...1844959590</v>
        <stp/>
        <stp>BDP|1403833819325264391</stp>
        <tr r="P42" s="2"/>
      </tp>
      <tp t="s">
        <v>#N/A Requesting Data...3986940174</v>
        <stp/>
        <stp>BDP|9497448478565107039</stp>
        <tr r="G97" s="2"/>
      </tp>
      <tp t="s">
        <v>#N/A Requesting Data...2013849180</v>
        <stp/>
        <stp>BDP|6970689745618949378</stp>
        <tr r="T33" s="2"/>
      </tp>
      <tp t="s">
        <v>#N/A Requesting Data...550575724</v>
        <stp/>
        <stp>BDP|5411374215970446890</stp>
        <tr r="K149" s="2"/>
      </tp>
      <tp t="s">
        <v>#N/A Requesting Data...3281952716</v>
        <stp/>
        <stp>BDP|7243449796526809330</stp>
        <tr r="X103" s="2"/>
      </tp>
      <tp t="s">
        <v>#N/A Requesting Data...2249812418</v>
        <stp/>
        <stp>BDP|7737483595272990781</stp>
        <tr r="T5" s="2"/>
      </tp>
      <tp t="s">
        <v>#N/A Requesting Data...549447694</v>
        <stp/>
        <stp>BDP|9766087283577513926</stp>
        <tr r="K138" s="2"/>
      </tp>
      <tp t="s">
        <v>#N/A N/A</v>
        <stp/>
        <stp>BDP|7961023213059414071</stp>
        <tr r="F2" s="2"/>
      </tp>
      <tp t="s">
        <v>#N/A Requesting Data...4222745162</v>
        <stp/>
        <stp>BDP|2838637856969105779</stp>
        <tr r="J42" s="2"/>
      </tp>
      <tp t="s">
        <v>#N/A Requesting Data...3853779722</v>
        <stp/>
        <stp>BDP|5858205985837417710</stp>
        <tr r="Q132" s="2"/>
      </tp>
      <tp t="s">
        <v>#N/A N/A</v>
        <stp/>
        <stp>BDP|2890029929786267992</stp>
        <tr r="F115" s="2"/>
      </tp>
      <tp t="s">
        <v>#N/A Requesting Data...3032816772</v>
        <stp/>
        <stp>BDP|9905633481140370819</stp>
        <tr r="N53" s="2"/>
      </tp>
      <tp t="s">
        <v>#N/A Requesting Data...2376174189</v>
        <stp/>
        <stp>BDP|7880035351135694851</stp>
        <tr r="T151" s="2"/>
      </tp>
      <tp t="s">
        <v>#N/A N/A</v>
        <stp/>
        <stp>BDP|2444293555709568338</stp>
        <tr r="F109" s="2"/>
      </tp>
      <tp t="s">
        <v>#N/A Requesting Data...4002665406</v>
        <stp/>
        <stp>BDP|8015768608324694463</stp>
        <tr r="G79" s="2"/>
      </tp>
      <tp t="s">
        <v>#N/A Requesting Data...1898430883</v>
        <stp/>
        <stp>BDP|5203230129979521338</stp>
        <tr r="S23" s="2"/>
      </tp>
      <tp t="s">
        <v>#N/A Requesting Data...4031230045</v>
        <stp/>
        <stp>BDP|8749662429572760116</stp>
        <tr r="T11" s="2"/>
      </tp>
      <tp t="s">
        <v>#N/A Requesting Data...322025977</v>
        <stp/>
        <stp>BDP|1811670427473751912</stp>
        <tr r="Q96" s="2"/>
      </tp>
      <tp t="s">
        <v>#N/A N/A</v>
        <stp/>
        <stp>BDP|8197337103732632683</stp>
        <tr r="C47" s="2"/>
      </tp>
      <tp t="s">
        <v>#N/A N/A</v>
        <stp/>
        <stp>BDP|4328837445655372299</stp>
        <tr r="I70" s="2"/>
      </tp>
      <tp t="s">
        <v>#N/A N/A</v>
        <stp/>
        <stp>BDP|3288017823898961661</stp>
        <tr r="B138" s="2"/>
      </tp>
      <tp t="s">
        <v>#N/A Requesting Data...3013429560</v>
        <stp/>
        <stp>BDP|3236207390282553581</stp>
        <tr r="O31" s="2"/>
      </tp>
      <tp t="s">
        <v>#N/A Requesting Data...2777770715</v>
        <stp/>
        <stp>BDP|3527807643181289184</stp>
        <tr r="X44" s="2"/>
      </tp>
      <tp t="s">
        <v>#N/A N/A</v>
        <stp/>
        <stp>BDP|1146266168399699352</stp>
        <tr r="C98" s="2"/>
      </tp>
      <tp t="s">
        <v>#N/A N/A</v>
        <stp/>
        <stp>BDP|5470232193716171795</stp>
        <tr r="C29" s="2"/>
      </tp>
      <tp t="s">
        <v>#N/A N/A</v>
        <stp/>
        <stp>BDP|5029495386516398009</stp>
        <tr r="I90" s="2"/>
      </tp>
      <tp t="s">
        <v>#N/A N/A</v>
        <stp/>
        <stp>BDP|8915118735774529149</stp>
        <tr r="C84" s="2"/>
      </tp>
      <tp t="s">
        <v>#N/A N/A</v>
        <stp/>
        <stp>BDP|9524152969367307671</stp>
        <tr r="C4" s="2"/>
      </tp>
      <tp t="s">
        <v>#N/A Requesting Data...850837541</v>
        <stp/>
        <stp>BDP|5032832628773090392</stp>
        <tr r="P86" s="2"/>
      </tp>
      <tp t="s">
        <v>#N/A Requesting Data...1175179827</v>
        <stp/>
        <stp>BDP|6020573161748491201</stp>
        <tr r="Y122" s="2"/>
      </tp>
      <tp t="s">
        <v>#N/A N/A</v>
        <stp/>
        <stp>BDP|3976417328553657940</stp>
        <tr r="F58" s="2"/>
      </tp>
      <tp t="s">
        <v>#N/A Requesting Data...4011023317</v>
        <stp/>
        <stp>BDP|5140780617308526493</stp>
        <tr r="Q55" s="2"/>
      </tp>
      <tp t="s">
        <v>#N/A Requesting Data...3438223412</v>
        <stp/>
        <stp>BDP|1915162367420984923</stp>
        <tr r="N30" s="2"/>
      </tp>
      <tp t="s">
        <v>#N/A Requesting Data...1243488478</v>
        <stp/>
        <stp>BDP|8432412554382120409</stp>
        <tr r="Y63" s="2"/>
      </tp>
      <tp t="s">
        <v>#N/A Requesting Data...1644643510</v>
        <stp/>
        <stp>BDP|1804541701889403292</stp>
        <tr r="Q97" s="2"/>
      </tp>
      <tp t="s">
        <v>#N/A N/A</v>
        <stp/>
        <stp>BDP|8316792458993153634</stp>
        <tr r="C113" s="2"/>
      </tp>
      <tp t="s">
        <v>#N/A Requesting Data...2953608456</v>
        <stp/>
        <stp>BDP|8870169409684653210</stp>
        <tr r="S100" s="2"/>
      </tp>
      <tp t="s">
        <v>#N/A Requesting Data...2658936294</v>
        <stp/>
        <stp>BDP|5773171649518191786</stp>
        <tr r="G117" s="2"/>
      </tp>
      <tp t="s">
        <v>#N/A N/A</v>
        <stp/>
        <stp>BDP|5077633854338666110</stp>
        <tr r="C101" s="2"/>
      </tp>
      <tp t="s">
        <v>#N/A Requesting Data...1646019783</v>
        <stp/>
        <stp>BDP|4507215752884777819</stp>
        <tr r="Y33" s="2"/>
      </tp>
      <tp t="s">
        <v>#N/A Requesting Data...2888594807</v>
        <stp/>
        <stp>BDP|5447345993275353505</stp>
        <tr r="S62" s="2"/>
      </tp>
      <tp t="s">
        <v>#N/A Requesting Data...2737389178</v>
        <stp/>
        <stp>BDP|5548829614747330410</stp>
        <tr r="N138" s="2"/>
      </tp>
      <tp t="s">
        <v>#N/A Requesting Data...556448171</v>
        <stp/>
        <stp>BDP|5707552196264217270</stp>
        <tr r="Q21" s="2"/>
      </tp>
      <tp t="s">
        <v>#N/A Requesting Data...3588449650</v>
        <stp/>
        <stp>BDP|1661592569054273950</stp>
        <tr r="N151" s="2"/>
      </tp>
      <tp t="s">
        <v>#N/A Requesting Data...1737344326</v>
        <stp/>
        <stp>BDP|5401828342837742127</stp>
        <tr r="G11" s="2"/>
      </tp>
      <tp t="s">
        <v>#N/A Requesting Data...1217165624</v>
        <stp/>
        <stp>BDP|5930042604133805902</stp>
        <tr r="N31" s="2"/>
      </tp>
      <tp t="s">
        <v>#N/A Requesting Data...814153294</v>
        <stp/>
        <stp>BDP|2269600994016427430</stp>
        <tr r="G73" s="2"/>
      </tp>
      <tp t="s">
        <v>#N/A Requesting Data...3406825797</v>
        <stp/>
        <stp>BDP|4302438619596880803</stp>
        <tr r="S143" s="2"/>
      </tp>
      <tp t="s">
        <v>#N/A N/A</v>
        <stp/>
        <stp>BDP|7137359594721673303</stp>
        <tr r="C138" s="2"/>
      </tp>
      <tp t="s">
        <v>#N/A N/A</v>
        <stp/>
        <stp>BDP|4640471138244601897</stp>
        <tr r="B57" s="2"/>
      </tp>
      <tp t="s">
        <v>#N/A N/A</v>
        <stp/>
        <stp>BDP|9392748601198801982</stp>
        <tr r="D40" s="2"/>
      </tp>
      <tp t="s">
        <v>#N/A Requesting Data...2831742952</v>
        <stp/>
        <stp>BDP|3448150890404003075</stp>
        <tr r="Q56" s="2"/>
      </tp>
      <tp t="s">
        <v>#N/A Requesting Data...2343531665</v>
        <stp/>
        <stp>BDP|8713414950177931191</stp>
        <tr r="T71" s="2"/>
      </tp>
      <tp t="s">
        <v>#N/A N/A</v>
        <stp/>
        <stp>BDP|7185904915715503562</stp>
        <tr r="D145" s="2"/>
      </tp>
      <tp t="s">
        <v>#N/A Requesting Data...4091582044</v>
        <stp/>
        <stp>BDP|6522907221293531169</stp>
        <tr r="X163" s="2"/>
      </tp>
      <tp t="s">
        <v>#N/A Requesting Data...1037326415</v>
        <stp/>
        <stp>BDP|9051972384816304173</stp>
        <tr r="P75" s="2"/>
      </tp>
      <tp t="s">
        <v>#N/A Requesting Data...1159718465</v>
        <stp/>
        <stp>BDP|7213505247350650941</stp>
        <tr r="J33" s="2"/>
      </tp>
      <tp t="s">
        <v>#N/A Requesting Data...4074077376</v>
        <stp/>
        <stp>BDP|4170239018901492998</stp>
        <tr r="N113" s="2"/>
      </tp>
      <tp t="s">
        <v>#N/A N/A</v>
        <stp/>
        <stp>BDP|7725786366901476893</stp>
        <tr r="I148" s="2"/>
      </tp>
      <tp t="s">
        <v>#N/A Requesting Data...2893336188</v>
        <stp/>
        <stp>BDP|6096943100942196210</stp>
        <tr r="N61" s="2"/>
      </tp>
      <tp t="s">
        <v>#N/A Requesting Data...2592620096</v>
        <stp/>
        <stp>BDP|5894593290550274676</stp>
        <tr r="S128" s="2"/>
      </tp>
      <tp t="s">
        <v>#N/A Requesting Data...2383442798</v>
        <stp/>
        <stp>BDP|3049173460478514366</stp>
        <tr r="G41" s="2"/>
      </tp>
      <tp t="s">
        <v>#N/A N/A</v>
        <stp/>
        <stp>BDP|1295346590490583475</stp>
        <tr r="C56" s="2"/>
      </tp>
      <tp t="s">
        <v>#N/A N/A</v>
        <stp/>
        <stp>BDP|2135113329476970853</stp>
        <tr r="I157" s="2"/>
      </tp>
      <tp t="s">
        <v>#N/A N/A</v>
        <stp/>
        <stp>BDP|8553424136100628022</stp>
        <tr r="F97" s="2"/>
      </tp>
      <tp t="s">
        <v>#N/A Requesting Data...2111148785</v>
        <stp/>
        <stp>BDP|9602414573015901081</stp>
        <tr r="N150" s="2"/>
      </tp>
      <tp t="s">
        <v>#N/A N/A</v>
        <stp/>
        <stp>BDP|6216142299856146047</stp>
        <tr r="D151" s="2"/>
      </tp>
      <tp t="s">
        <v>#N/A Requesting Data...2735787650</v>
        <stp/>
        <stp>BDP|7379025605309953678</stp>
        <tr r="K104" s="2"/>
      </tp>
      <tp t="s">
        <v>#N/A Requesting Data...4179266109</v>
        <stp/>
        <stp>BDP|3684335295826970733</stp>
        <tr r="N147" s="2"/>
      </tp>
      <tp t="s">
        <v>#N/A Requesting Data...4088229371</v>
        <stp/>
        <stp>BDP|9772291260741270479</stp>
        <tr r="Y37" s="2"/>
      </tp>
      <tp t="s">
        <v>#N/A Requesting Data...3060178075</v>
        <stp/>
        <stp>BDP|7576369665553536987</stp>
        <tr r="Y24" s="2"/>
      </tp>
      <tp t="s">
        <v>#N/A N/A</v>
        <stp/>
        <stp>BDP|6624209243968749098</stp>
        <tr r="F49" s="2"/>
      </tp>
      <tp t="s">
        <v>#N/A N/A</v>
        <stp/>
        <stp>BDP|1377126982702878202</stp>
        <tr r="F44" s="2"/>
      </tp>
      <tp t="s">
        <v>#N/A Requesting Data...1513540878</v>
        <stp/>
        <stp>BDP|6141891022840430459</stp>
        <tr r="T113" s="2"/>
      </tp>
      <tp t="s">
        <v>#N/A N/A</v>
        <stp/>
        <stp>BDP|2325839228427427746</stp>
        <tr r="F17" s="2"/>
      </tp>
      <tp t="s">
        <v>#N/A Requesting Data...3675455335</v>
        <stp/>
        <stp>BDP|6402844459435333622</stp>
        <tr r="O9" s="2"/>
      </tp>
      <tp t="s">
        <v>#N/A Requesting Data...2096923296</v>
        <stp/>
        <stp>BDP|2405597090613536503</stp>
        <tr r="J75" s="2"/>
      </tp>
      <tp t="s">
        <v>#N/A Requesting Data...3217295007</v>
        <stp/>
        <stp>BDP|4924097609579885598</stp>
        <tr r="T110" s="2"/>
      </tp>
      <tp t="s">
        <v>#N/A N/A</v>
        <stp/>
        <stp>BDP|4970884137555874262</stp>
        <tr r="B102" s="2"/>
      </tp>
      <tp t="s">
        <v>#N/A Requesting Data...3161913379</v>
        <stp/>
        <stp>BDP|9830265321297417637</stp>
        <tr r="K14" s="2"/>
      </tp>
      <tp t="s">
        <v>#N/A Requesting Data...614230181</v>
        <stp/>
        <stp>BDP|3958471913589743720</stp>
        <tr r="J129" s="2"/>
      </tp>
      <tp t="s">
        <v>#N/A Requesting Data...1394528539</v>
        <stp/>
        <stp>BDP|9448346298118285332</stp>
        <tr r="G51" s="2"/>
      </tp>
      <tp t="s">
        <v>#N/A Requesting Data...499733747</v>
        <stp/>
        <stp>BDP|7118845458467580511</stp>
        <tr r="X56" s="2"/>
      </tp>
      <tp t="s">
        <v>#N/A Requesting Data...1134375635</v>
        <stp/>
        <stp>BDP|2503356568179683675</stp>
        <tr r="X159" s="2"/>
      </tp>
      <tp t="s">
        <v>#N/A Requesting Data...323051993</v>
        <stp/>
        <stp>BDP|1851698694091905757</stp>
        <tr r="Y29" s="2"/>
      </tp>
      <tp t="s">
        <v>#N/A N/A</v>
        <stp/>
        <stp>BDP|1677891736346116418</stp>
        <tr r="F114" s="2"/>
      </tp>
      <tp t="s">
        <v>#N/A Requesting Data...807355585</v>
        <stp/>
        <stp>BDP|7730879228336427355</stp>
        <tr r="Y73" s="2"/>
      </tp>
      <tp t="s">
        <v>#N/A N/A</v>
        <stp/>
        <stp>BDP|2002862738870125166</stp>
        <tr r="C129" s="2"/>
      </tp>
      <tp t="s">
        <v>#N/A Requesting Data...2860775198</v>
        <stp/>
        <stp>BDP|9810234463547782212</stp>
        <tr r="J9" s="2"/>
      </tp>
      <tp t="s">
        <v>#N/A Requesting Data...2763245280</v>
        <stp/>
        <stp>BDP|7908074060490162915</stp>
        <tr r="T119" s="2"/>
      </tp>
      <tp t="s">
        <v>#N/A N/A</v>
        <stp/>
        <stp>BDP|2432977824435887401</stp>
        <tr r="I11" s="2"/>
      </tp>
      <tp t="s">
        <v>#N/A N/A</v>
        <stp/>
        <stp>BDP|5382436618738420030</stp>
        <tr r="F42" s="2"/>
      </tp>
      <tp t="s">
        <v>#N/A Requesting Data...4200973358</v>
        <stp/>
        <stp>BDP|1812484507064010988</stp>
        <tr r="O42" s="2"/>
      </tp>
      <tp t="s">
        <v>#N/A Requesting Data...3233365948</v>
        <stp/>
        <stp>BDP|6715625688997595773</stp>
        <tr r="G131" s="2"/>
      </tp>
      <tp t="s">
        <v>#N/A N/A</v>
        <stp/>
        <stp>BDP|7760118459833328833</stp>
        <tr r="B134" s="2"/>
      </tp>
      <tp t="s">
        <v>#N/A N/A</v>
        <stp/>
        <stp>BDP|2515174584016156586</stp>
        <tr r="I153" s="2"/>
      </tp>
      <tp t="s">
        <v>#N/A Requesting Data...2188913441</v>
        <stp/>
        <stp>BDP|7846949147023747101</stp>
        <tr r="S11" s="2"/>
      </tp>
      <tp t="s">
        <v>#N/A N/A</v>
        <stp/>
        <stp>BDP|9856066742412874780</stp>
        <tr r="D23" s="2"/>
      </tp>
      <tp t="s">
        <v>#N/A Requesting Data...1399849035</v>
        <stp/>
        <stp>BDP|2576551538809489505</stp>
        <tr r="K118" s="2"/>
      </tp>
      <tp t="s">
        <v>#N/A N/A</v>
        <stp/>
        <stp>BDP|3104863361932398795</stp>
        <tr r="I109" s="2"/>
      </tp>
      <tp t="s">
        <v>#N/A N/A</v>
        <stp/>
        <stp>BDP|8293997253208588408</stp>
        <tr r="B27" s="2"/>
      </tp>
      <tp t="s">
        <v>#N/A N/A</v>
        <stp/>
        <stp>BDP|1215978398371411845</stp>
        <tr r="D27" s="2"/>
      </tp>
      <tp t="s">
        <v>#N/A Requesting Data...2590498713</v>
        <stp/>
        <stp>BDP|6065412167839942529</stp>
        <tr r="X25" s="2"/>
      </tp>
      <tp t="s">
        <v>#N/A N/A</v>
        <stp/>
        <stp>BDP|5639788785910667201</stp>
        <tr r="D92" s="2"/>
      </tp>
      <tp t="s">
        <v>#N/A Requesting Data...4011372601</v>
        <stp/>
        <stp>BDP|1815202035401933990</stp>
        <tr r="O120" s="2"/>
      </tp>
      <tp t="s">
        <v>#N/A Requesting Data...4016746892</v>
        <stp/>
        <stp>BDP|7106685037333536962</stp>
        <tr r="K57" s="2"/>
      </tp>
      <tp t="s">
        <v>#N/A N/A</v>
        <stp/>
        <stp>BDP|5113375340069141359</stp>
        <tr r="D107" s="2"/>
      </tp>
      <tp t="s">
        <v>#N/A N/A</v>
        <stp/>
        <stp>BDP|4881285990071430662</stp>
        <tr r="D62" s="2"/>
      </tp>
      <tp t="s">
        <v>#N/A N/A</v>
        <stp/>
        <stp>BDP|5375050293604296041</stp>
        <tr r="B156" s="2"/>
      </tp>
      <tp t="s">
        <v>#N/A Requesting Data...3081573320</v>
        <stp/>
        <stp>BDP|7329993667625693587</stp>
        <tr r="S70" s="2"/>
      </tp>
      <tp t="s">
        <v>#N/A Requesting Data...459336776</v>
        <stp/>
        <stp>BDP|1503922820366138459</stp>
        <tr r="T112" s="2"/>
      </tp>
      <tp t="s">
        <v>#N/A Requesting Data...1748965535</v>
        <stp/>
        <stp>BDP|3748835168497988256</stp>
        <tr r="X2" s="2"/>
      </tp>
      <tp t="s">
        <v>#N/A Requesting Data...271618603</v>
        <stp/>
        <stp>BDP|3752827810881750321</stp>
        <tr r="P49" s="2"/>
      </tp>
      <tp t="s">
        <v>#N/A N/A</v>
        <stp/>
        <stp>BDP|2683904903705404615</stp>
        <tr r="C88" s="2"/>
      </tp>
      <tp t="s">
        <v>#N/A Requesting Data...3975247217</v>
        <stp/>
        <stp>BDP|6283351074609265300</stp>
        <tr r="P111" s="2"/>
      </tp>
      <tp t="s">
        <v>#N/A N/A</v>
        <stp/>
        <stp>BDP|9834021029002235109</stp>
        <tr r="B132" s="2"/>
      </tp>
      <tp t="s">
        <v>#N/A Requesting Data...3767083637</v>
        <stp/>
        <stp>BDP|8483031572562125553</stp>
        <tr r="G60" s="2"/>
      </tp>
      <tp t="s">
        <v>#N/A Requesting Data...2639990536</v>
        <stp/>
        <stp>BDP|1796090118611361944</stp>
        <tr r="K11" s="2"/>
      </tp>
      <tp t="s">
        <v>#N/A Requesting Data...4261645355</v>
        <stp/>
        <stp>BDP|8071468657754625565</stp>
        <tr r="N42" s="2"/>
      </tp>
      <tp t="s">
        <v>#N/A Requesting Data...3526004039</v>
        <stp/>
        <stp>BDP|6045852525452059619</stp>
        <tr r="T138" s="2"/>
      </tp>
      <tp t="s">
        <v>#N/A N/A</v>
        <stp/>
        <stp>BDP|6425580349418110755</stp>
        <tr r="B148" s="2"/>
      </tp>
      <tp t="s">
        <v>#N/A N/A</v>
        <stp/>
        <stp>BDP|8121640264681636162</stp>
        <tr r="I150" s="2"/>
      </tp>
      <tp t="s">
        <v>#N/A N/A</v>
        <stp/>
        <stp>BDP|4489365993425691367</stp>
        <tr r="C58" s="2"/>
      </tp>
      <tp t="s">
        <v>#N/A Requesting Data...3346253917</v>
        <stp/>
        <stp>BDP|9891505915381332480</stp>
        <tr r="P71" s="2"/>
      </tp>
      <tp t="s">
        <v>#N/A Requesting Data...3181171345</v>
        <stp/>
        <stp>BDP|4826005633609513684</stp>
        <tr r="P20" s="2"/>
      </tp>
      <tp t="s">
        <v>#N/A Requesting Data...3895749322</v>
        <stp/>
        <stp>BDP|9121517120915694303</stp>
        <tr r="N93" s="2"/>
      </tp>
      <tp t="s">
        <v>#N/A Requesting Data...550300964</v>
        <stp/>
        <stp>BDP|5437807048409890830</stp>
        <tr r="P128" s="2"/>
      </tp>
      <tp t="s">
        <v>#N/A Requesting Data...1132443845</v>
        <stp/>
        <stp>BDP|8194425500141272564</stp>
        <tr r="X81" s="2"/>
      </tp>
      <tp t="s">
        <v>#N/A N/A</v>
        <stp/>
        <stp>BDP|8278197441433454690</stp>
        <tr r="F146" s="2"/>
      </tp>
      <tp t="s">
        <v>#N/A N/A</v>
        <stp/>
        <stp>BDP|4100412305198312012</stp>
        <tr r="F40" s="2"/>
      </tp>
      <tp t="s">
        <v>#N/A Requesting Data...1814586647</v>
        <stp/>
        <stp>BDP|5916241491975950317</stp>
        <tr r="G82" s="2"/>
      </tp>
      <tp t="s">
        <v>#N/A Requesting Data...3352147307</v>
        <stp/>
        <stp>BDP|1106273621831615850</stp>
        <tr r="Y48" s="2"/>
      </tp>
      <tp t="s">
        <v>#N/A Requesting Data...480418063</v>
        <stp/>
        <stp>BDP|6832326766953107892</stp>
        <tr r="Y45" s="2"/>
      </tp>
      <tp t="s">
        <v>#N/A Requesting Data...423377669</v>
        <stp/>
        <stp>BDP|4001522989409648891</stp>
        <tr r="O30" s="2"/>
      </tp>
      <tp t="s">
        <v>#N/A N/A</v>
        <stp/>
        <stp>BDP|1571306011263488848</stp>
        <tr r="C39" s="2"/>
      </tp>
      <tp t="s">
        <v>#N/A Requesting Data...3276143667</v>
        <stp/>
        <stp>BDP|8020137321765014664</stp>
        <tr r="X73" s="2"/>
      </tp>
      <tp t="s">
        <v>#N/A Requesting Data...2765857288</v>
        <stp/>
        <stp>BDP|9195727527300711467</stp>
        <tr r="Q26" s="2"/>
      </tp>
      <tp t="s">
        <v>#N/A N/A</v>
        <stp/>
        <stp>BDP|8694713164093213241</stp>
        <tr r="I128" s="2"/>
      </tp>
      <tp t="s">
        <v>#N/A Requesting Data...1154801224</v>
        <stp/>
        <stp>BDP|2400931939689207994</stp>
        <tr r="K45" s="2"/>
      </tp>
      <tp t="s">
        <v>#N/A N/A</v>
        <stp/>
        <stp>BDP|7374834965143546255</stp>
        <tr r="B48" s="2"/>
      </tp>
      <tp t="s">
        <v>#N/A Requesting Data...1769448053</v>
        <stp/>
        <stp>BDP|3374854976746207385</stp>
        <tr r="Y62" s="2"/>
      </tp>
      <tp t="s">
        <v>#N/A Requesting Data...870710208</v>
        <stp/>
        <stp>BDP|3849756966282677972</stp>
        <tr r="G94" s="2"/>
      </tp>
      <tp t="s">
        <v>#N/A Requesting Data...2556103439</v>
        <stp/>
        <stp>BDP|3636844012173846024</stp>
        <tr r="P32" s="2"/>
      </tp>
      <tp t="s">
        <v>#N/A Requesting Data...2014565068</v>
        <stp/>
        <stp>BDP|4683716087870268299</stp>
        <tr r="N78" s="2"/>
      </tp>
      <tp t="s">
        <v>#N/A Requesting Data...2918230946</v>
        <stp/>
        <stp>BDP|2141791751711424865</stp>
        <tr r="Q100" s="2"/>
      </tp>
      <tp t="s">
        <v>#N/A N/A</v>
        <stp/>
        <stp>BDP|6214857930474560090</stp>
        <tr r="C156" s="2"/>
      </tp>
      <tp t="s">
        <v>#N/A Requesting Data...3173166647</v>
        <stp/>
        <stp>BDP|3081500094112555496</stp>
        <tr r="K97" s="2"/>
      </tp>
      <tp t="s">
        <v>#N/A Requesting Data...1255323625</v>
        <stp/>
        <stp>BDP|2818923219920279393</stp>
        <tr r="O95" s="2"/>
      </tp>
      <tp t="s">
        <v>#N/A N/A</v>
        <stp/>
        <stp>BDP|9800245366931491561</stp>
        <tr r="B155" s="2"/>
      </tp>
      <tp t="s">
        <v>#N/A Requesting Data...1280714137</v>
        <stp/>
        <stp>BDP|9757632551437590493</stp>
        <tr r="J5" s="2"/>
      </tp>
      <tp t="s">
        <v>#N/A Requesting Data...2538927919</v>
        <stp/>
        <stp>BDP|1762925605899810810</stp>
        <tr r="K144" s="2"/>
      </tp>
      <tp t="s">
        <v>#N/A N/A</v>
        <stp/>
        <stp>BDP|7949182610399134795</stp>
        <tr r="I108" s="2"/>
      </tp>
      <tp t="s">
        <v>#N/A Requesting Data...1470516676</v>
        <stp/>
        <stp>BDP|6764297912558335460</stp>
        <tr r="J71" s="2"/>
      </tp>
      <tp t="s">
        <v>#N/A Requesting Data...3662744331</v>
        <stp/>
        <stp>BDP|9635606787058669698</stp>
        <tr r="P2" s="2"/>
      </tp>
      <tp t="s">
        <v>#N/A Requesting Data...1096769243</v>
        <stp/>
        <stp>BDP|8561683960294028538</stp>
        <tr r="Q61" s="2"/>
      </tp>
      <tp t="s">
        <v>#N/A N/A</v>
        <stp/>
        <stp>BDP|9001391630444798403</stp>
        <tr r="D59" s="2"/>
      </tp>
      <tp t="s">
        <v>#N/A N/A</v>
        <stp/>
        <stp>BDP|8257570074572714184</stp>
        <tr r="F16" s="2"/>
      </tp>
      <tp t="s">
        <v>#N/A N/A</v>
        <stp/>
        <stp>BDP|8094781572814657537</stp>
        <tr r="C141" s="2"/>
      </tp>
      <tp t="s">
        <v>#N/A N/A</v>
        <stp/>
        <stp>BDP|8875622743283199047</stp>
        <tr r="D64" s="2"/>
      </tp>
      <tp t="s">
        <v>#N/A Requesting Data...1363865947</v>
        <stp/>
        <stp>BDP|9318714308813532436</stp>
        <tr r="K141" s="2"/>
      </tp>
      <tp t="s">
        <v>#N/A N/A</v>
        <stp/>
        <stp>BDP|8212117869672228448</stp>
        <tr r="D141" s="2"/>
      </tp>
      <tp t="s">
        <v>#N/A N/A</v>
        <stp/>
        <stp>BDP|9220192525290062328</stp>
        <tr r="F104" s="2"/>
      </tp>
      <tp t="s">
        <v>#N/A Requesting Data...3615509116</v>
        <stp/>
        <stp>BDP|9633079340331867550</stp>
        <tr r="T95" s="2"/>
      </tp>
      <tp t="s">
        <v>#N/A Requesting Data...4115371655</v>
        <stp/>
        <stp>BDP|8820019357272719659</stp>
        <tr r="P98" s="2"/>
      </tp>
      <tp t="s">
        <v>#N/A Requesting Data...767563411</v>
        <stp/>
        <stp>BDP|4474843073101622391</stp>
        <tr r="O5" s="2"/>
      </tp>
      <tp t="s">
        <v>#N/A Requesting Data...3635882484</v>
        <stp/>
        <stp>BDP|6959140075411159852</stp>
        <tr r="Y125" s="2"/>
      </tp>
      <tp t="s">
        <v>#N/A N/A</v>
        <stp/>
        <stp>BDP|9135959115069860146</stp>
        <tr r="C68" s="2"/>
      </tp>
      <tp t="s">
        <v>#N/A Requesting Data...1559323626</v>
        <stp/>
        <stp>BDP|4172563500399283189</stp>
        <tr r="S16" s="2"/>
      </tp>
      <tp t="s">
        <v>#N/A Requesting Data...4238182573</v>
        <stp/>
        <stp>BDP|7585867448390936206</stp>
        <tr r="G154" s="2"/>
      </tp>
      <tp t="s">
        <v>#N/A N/A</v>
        <stp/>
        <stp>BDP|4892110094605601097</stp>
        <tr r="D77" s="2"/>
      </tp>
      <tp t="s">
        <v>#N/A Requesting Data...2405703224</v>
        <stp/>
        <stp>BDP|8193049744781545468</stp>
        <tr r="T42" s="2"/>
      </tp>
      <tp t="s">
        <v>#N/A N/A</v>
        <stp/>
        <stp>BDP|4130348494226261112</stp>
        <tr r="D103" s="2"/>
      </tp>
      <tp t="s">
        <v>#N/A Requesting Data...1174586379</v>
        <stp/>
        <stp>BDP|7827186491823528563</stp>
        <tr r="Y120" s="2"/>
      </tp>
      <tp t="s">
        <v>#N/A N/A</v>
        <stp/>
        <stp>BDP|5603057951151407849</stp>
        <tr r="B15" s="2"/>
      </tp>
      <tp t="s">
        <v>#N/A Requesting Data...1193105158</v>
        <stp/>
        <stp>BDP|5378303813528027623</stp>
        <tr r="J81" s="2"/>
      </tp>
      <tp t="s">
        <v>#N/A Requesting Data...4242731307</v>
        <stp/>
        <stp>BDP|8315280402303283083</stp>
        <tr r="T25" s="2"/>
      </tp>
      <tp t="s">
        <v>#N/A N/A</v>
        <stp/>
        <stp>BDP|1869082591936348719</stp>
        <tr r="I31" s="2"/>
      </tp>
      <tp t="s">
        <v>#N/A Requesting Data...1254786217</v>
        <stp/>
        <stp>BDP|6539816687077383802</stp>
        <tr r="T36" s="2"/>
      </tp>
      <tp t="s">
        <v>#N/A N/A</v>
        <stp/>
        <stp>BDP|2188376004629009128</stp>
        <tr r="I54" s="2"/>
      </tp>
      <tp t="s">
        <v>#N/A Requesting Data...1060214334</v>
        <stp/>
        <stp>BDP|4526967902414028017</stp>
        <tr r="P141" s="2"/>
      </tp>
      <tp t="s">
        <v>#N/A N/A</v>
        <stp/>
        <stp>BDP|4288840596519935582</stp>
        <tr r="I59" s="2"/>
      </tp>
      <tp t="s">
        <v>#N/A N/A</v>
        <stp/>
        <stp>BDP|9065158150760429404</stp>
        <tr r="B139" s="2"/>
      </tp>
      <tp t="s">
        <v>#N/A N/A</v>
        <stp/>
        <stp>BDP|9747358102425354623</stp>
        <tr r="B25" s="2"/>
      </tp>
      <tp t="s">
        <v>#N/A Requesting Data...752060233</v>
        <stp/>
        <stp>BDP|8392667304634540352</stp>
        <tr r="Y50" s="2"/>
      </tp>
      <tp t="s">
        <v>#N/A Requesting Data...1755461083</v>
        <stp/>
        <stp>BDP|4689725780283250107</stp>
        <tr r="S27" s="2"/>
      </tp>
      <tp t="s">
        <v>#N/A Requesting Data...3623061834</v>
        <stp/>
        <stp>BDP|5800787805859389206</stp>
        <tr r="K110" s="2"/>
      </tp>
      <tp t="s">
        <v>#N/A N/A</v>
        <stp/>
        <stp>BDP|8859593186779074515</stp>
        <tr r="B70" s="2"/>
      </tp>
      <tp t="s">
        <v>#N/A N/A</v>
        <stp/>
        <stp>BDP|9316365325897781616</stp>
        <tr r="C41" s="2"/>
      </tp>
      <tp t="s">
        <v>#N/A Requesting Data...591290849</v>
        <stp/>
        <stp>BDP|6064296000668613593</stp>
        <tr r="Q155" s="2"/>
      </tp>
      <tp t="s">
        <v>#N/A N/A</v>
        <stp/>
        <stp>BDP|2306913096548037323</stp>
        <tr r="C46" s="2"/>
      </tp>
      <tp t="s">
        <v>#N/A N/A</v>
        <stp/>
        <stp>BDP|5954926756519245988</stp>
        <tr r="B5" s="2"/>
      </tp>
      <tp t="s">
        <v>#N/A Requesting Data...1774978254</v>
        <stp/>
        <stp>BDP|4697609906903147861</stp>
        <tr r="T111" s="2"/>
      </tp>
      <tp t="s">
        <v>#N/A Requesting Data...3539829205</v>
        <stp/>
        <stp>BDP|1582390033528025080</stp>
        <tr r="P106" s="2"/>
      </tp>
      <tp t="s">
        <v>#N/A N/A</v>
        <stp/>
        <stp>BDP|6981099481161561638</stp>
        <tr r="C23" s="2"/>
      </tp>
      <tp t="s">
        <v>#N/A Requesting Data...2036965789</v>
        <stp/>
        <stp>BDP|2520212602061454854</stp>
        <tr r="S46" s="2"/>
      </tp>
      <tp t="s">
        <v>#N/A Requesting Data...2721802510</v>
        <stp/>
        <stp>BDP|1368464982440820483</stp>
        <tr r="S34" s="2"/>
      </tp>
      <tp t="s">
        <v>#N/A Requesting Data...1983967010</v>
        <stp/>
        <stp>BDP|3856462193645081290</stp>
        <tr r="K50" s="2"/>
      </tp>
      <tp t="s">
        <v>#N/A Requesting Data...2794658151</v>
        <stp/>
        <stp>BDP|5588912834963484502</stp>
        <tr r="N114" s="2"/>
      </tp>
      <tp t="s">
        <v>#N/A Requesting Data...506461177</v>
        <stp/>
        <stp>BDP|5410190019688681466</stp>
        <tr r="K135" s="2"/>
      </tp>
      <tp t="s">
        <v>#N/A N/A</v>
        <stp/>
        <stp>BDP|4699847082815685825</stp>
        <tr r="F135" s="2"/>
      </tp>
      <tp t="s">
        <v>#N/A Requesting Data...3875662959</v>
        <stp/>
        <stp>BDP|1486744546709408264</stp>
        <tr r="X29" s="2"/>
      </tp>
      <tp t="s">
        <v>#N/A N/A</v>
        <stp/>
        <stp>BDP|7768564118063826951</stp>
        <tr r="C24" s="2"/>
      </tp>
      <tp t="s">
        <v>#N/A N/A</v>
        <stp/>
        <stp>BDP|4719087479919387315</stp>
        <tr r="F96" s="2"/>
      </tp>
      <tp t="s">
        <v>#N/A Requesting Data...1318718849</v>
        <stp/>
        <stp>BDP|5227815734135636251</stp>
        <tr r="Q148" s="2"/>
      </tp>
      <tp t="s">
        <v>#N/A Requesting Data...3895193714</v>
        <stp/>
        <stp>BDP|3937044178425155800</stp>
        <tr r="N43" s="2"/>
      </tp>
      <tp t="s">
        <v>#N/A Requesting Data...3910241951</v>
        <stp/>
        <stp>BDP|6013474704422493922</stp>
        <tr r="P93" s="2"/>
      </tp>
      <tp t="s">
        <v>#N/A Requesting Data...2648219384</v>
        <stp/>
        <stp>BDP|5435588960569000693</stp>
        <tr r="N133" s="2"/>
      </tp>
      <tp t="s">
        <v>#N/A Requesting Data...1890771982</v>
        <stp/>
        <stp>BDP|6530447795724044616</stp>
        <tr r="N77" s="2"/>
      </tp>
      <tp t="s">
        <v>#N/A Requesting Data...848978765</v>
        <stp/>
        <stp>BDP|6429049681494574318</stp>
        <tr r="Y53" s="2"/>
      </tp>
      <tp t="s">
        <v>#N/A Requesting Data...2672473058</v>
        <stp/>
        <stp>BDP|4328316439129729495</stp>
        <tr r="Q113" s="2"/>
      </tp>
      <tp t="s">
        <v>#N/A N/A</v>
        <stp/>
        <stp>BDP|1320755385431411627</stp>
        <tr r="C74" s="2"/>
      </tp>
      <tp t="s">
        <v>#N/A Requesting Data...3550012675</v>
        <stp/>
        <stp>BDP|7776374863222514934</stp>
        <tr r="G13" s="2"/>
      </tp>
      <tp t="s">
        <v>#N/A N/A</v>
        <stp/>
        <stp>BDP|7987284436667651849</stp>
        <tr r="C49" s="2"/>
      </tp>
      <tp t="s">
        <v>#N/A N/A</v>
        <stp/>
        <stp>BDP|9023840759197593920</stp>
        <tr r="C60" s="2"/>
      </tp>
      <tp t="s">
        <v>#N/A Requesting Data...2764188791</v>
        <stp/>
        <stp>BDP|8042190578834298099</stp>
        <tr r="O149" s="2"/>
      </tp>
      <tp t="s">
        <v>#N/A Requesting Data...2763222490</v>
        <stp/>
        <stp>BDP|8692268608542035224</stp>
        <tr r="N7" s="2"/>
      </tp>
      <tp t="s">
        <v>#N/A Requesting Data...3879891286</v>
        <stp/>
        <stp>BDP|5119862163420953171</stp>
        <tr r="Q59" s="2"/>
      </tp>
      <tp t="s">
        <v>#N/A N/A</v>
        <stp/>
        <stp>BDP|2924278284301653369</stp>
        <tr r="D55" s="2"/>
      </tp>
      <tp t="s">
        <v>#N/A Requesting Data...909461400</v>
        <stp/>
        <stp>BDP|5333642982735609492</stp>
        <tr r="X131" s="2"/>
      </tp>
      <tp t="s">
        <v>#N/A Requesting Data...1251049838</v>
        <stp/>
        <stp>BDP|1953456793710591617</stp>
        <tr r="S64" s="2"/>
      </tp>
      <tp t="s">
        <v>#N/A Requesting Data...3810971250</v>
        <stp/>
        <stp>BDP|3242597728018125691</stp>
        <tr r="S42" s="2"/>
      </tp>
      <tp t="s">
        <v>#N/A Requesting Data...2111214467</v>
        <stp/>
        <stp>BDP|3191291096241788324</stp>
        <tr r="K8" s="2"/>
      </tp>
      <tp t="s">
        <v>#N/A N/A</v>
        <stp/>
        <stp>BDP|4307250388846215240</stp>
        <tr r="B126" s="2"/>
      </tp>
      <tp t="s">
        <v>#N/A N/A</v>
        <stp/>
        <stp>BDP|8206767652251637189</stp>
        <tr r="I94" s="2"/>
      </tp>
      <tp t="s">
        <v>#N/A Requesting Data...1577260714</v>
        <stp/>
        <stp>BDP|5897325987310404410</stp>
        <tr r="N63" s="2"/>
      </tp>
      <tp t="s">
        <v>#N/A Requesting Data...3766938455</v>
        <stp/>
        <stp>BDP|5188600671498973615</stp>
        <tr r="J46" s="2"/>
      </tp>
      <tp t="s">
        <v>#N/A Requesting Data...900571357</v>
        <stp/>
        <stp>BDP|6150477072639963655</stp>
        <tr r="O13" s="2"/>
      </tp>
      <tp t="s">
        <v>#N/A Requesting Data...3776662749</v>
        <stp/>
        <stp>BDP|5608078121129172498</stp>
        <tr r="X71" s="2"/>
      </tp>
      <tp t="s">
        <v>#N/A Requesting Data...2961621128</v>
        <stp/>
        <stp>BDP|6260313851148951229</stp>
        <tr r="Y87" s="2"/>
      </tp>
      <tp t="s">
        <v>#N/A N/A</v>
        <stp/>
        <stp>BDP|5792390992275750021</stp>
        <tr r="D9" s="2"/>
      </tp>
      <tp t="s">
        <v>#N/A N/A</v>
        <stp/>
        <stp>BDP|9913856392484284655</stp>
        <tr r="D72" s="2"/>
      </tp>
      <tp t="s">
        <v>#N/A N/A</v>
        <stp/>
        <stp>BDP|1138332783119029983</stp>
        <tr r="B20" s="2"/>
      </tp>
      <tp t="s">
        <v>#N/A Requesting Data...4225546137</v>
        <stp/>
        <stp>BDP|6419198589921926441</stp>
        <tr r="J126" s="2"/>
      </tp>
      <tp t="s">
        <v>#N/A Requesting Data...2036717071</v>
        <stp/>
        <stp>BDP|2616765862298976123</stp>
        <tr r="Y9" s="2"/>
      </tp>
      <tp t="s">
        <v>#N/A N/A</v>
        <stp/>
        <stp>BDP|1877828420780265119</stp>
        <tr r="F25" s="2"/>
      </tp>
      <tp t="s">
        <v>#N/A Requesting Data...1896637039</v>
        <stp/>
        <stp>BDP|4445522509292864999</stp>
        <tr r="S21" s="2"/>
      </tp>
      <tp t="s">
        <v>#N/A Requesting Data...3871336714</v>
        <stp/>
        <stp>BDP|8814183113086891458</stp>
        <tr r="K55" s="2"/>
      </tp>
      <tp t="s">
        <v>#N/A Requesting Data...2080064241</v>
        <stp/>
        <stp>BDP|6246952040679902807</stp>
        <tr r="K54" s="2"/>
      </tp>
      <tp t="s">
        <v>#N/A N/A</v>
        <stp/>
        <stp>BDP|5712944645842032094</stp>
        <tr r="F150" s="2"/>
      </tp>
      <tp t="s">
        <v>#N/A Requesting Data...2796930245</v>
        <stp/>
        <stp>BDP|3032948019185409467</stp>
        <tr r="N59" s="2"/>
      </tp>
      <tp t="s">
        <v>#N/A Requesting Data...2109049594</v>
        <stp/>
        <stp>BDP|4540122168431422843</stp>
        <tr r="Y135" s="2"/>
      </tp>
      <tp t="s">
        <v>#N/A Requesting Data...1214266243</v>
        <stp/>
        <stp>BDP|1963771673998480364</stp>
        <tr r="G88" s="2"/>
      </tp>
      <tp t="s">
        <v>#N/A Requesting Data...2556334314</v>
        <stp/>
        <stp>BDP|1498781005358492424</stp>
        <tr r="P68" s="2"/>
      </tp>
      <tp t="s">
        <v>#N/A Requesting Data...3953466977</v>
        <stp/>
        <stp>BDP|1312186430830433935</stp>
        <tr r="Y85" s="2"/>
      </tp>
      <tp t="s">
        <v>#N/A Requesting Data...1470993220</v>
        <stp/>
        <stp>BDP|2455271383904572697</stp>
        <tr r="S55" s="2"/>
      </tp>
      <tp t="s">
        <v>#N/A N/A</v>
        <stp/>
        <stp>BDP|4829262666849728337</stp>
        <tr r="B12" s="2"/>
      </tp>
      <tp t="s">
        <v>#N/A Requesting Data...1573380929</v>
        <stp/>
        <stp>BDP|5805965170485591474</stp>
        <tr r="P54" s="2"/>
      </tp>
      <tp t="s">
        <v>#N/A Requesting Data...1328547523</v>
        <stp/>
        <stp>BDP|6691352348089364241</stp>
        <tr r="P6" s="2"/>
      </tp>
      <tp t="s">
        <v>#N/A Requesting Data...1120022419</v>
        <stp/>
        <stp>BDP|7976252011766280835</stp>
        <tr r="Q12" s="2"/>
      </tp>
      <tp t="s">
        <v>#N/A Requesting Data...2482554372</v>
        <stp/>
        <stp>BDP|1647673919455182954</stp>
        <tr r="O88" s="2"/>
      </tp>
      <tp t="s">
        <v>#N/A Requesting Data...502722079</v>
        <stp/>
        <stp>BDP|4620950419284036262</stp>
        <tr r="Y58" s="2"/>
      </tp>
      <tp t="s">
        <v>#N/A Requesting Data...3933835383</v>
        <stp/>
        <stp>BDP|4104215831706434992</stp>
        <tr r="S162" s="2"/>
      </tp>
      <tp t="s">
        <v>#N/A Requesting Data...3720877645</v>
        <stp/>
        <stp>BDP|3326217040297806862</stp>
        <tr r="S122" s="2"/>
      </tp>
      <tp t="s">
        <v>#N/A N/A</v>
        <stp/>
        <stp>BDP|5576959150007402490</stp>
        <tr r="C96" s="2"/>
      </tp>
      <tp t="s">
        <v>#N/A N/A</v>
        <stp/>
        <stp>BDP|9013697083384450930</stp>
        <tr r="I53" s="2"/>
      </tp>
      <tp t="s">
        <v>#N/A Requesting Data...2411202986</v>
        <stp/>
        <stp>BDP|4532418402939916321</stp>
        <tr r="N120" s="2"/>
      </tp>
      <tp t="s">
        <v>#N/A N/A</v>
        <stp/>
        <stp>BDP|2159225751666796989</stp>
        <tr r="B108" s="2"/>
      </tp>
      <tp t="s">
        <v>#N/A Requesting Data...3894183860</v>
        <stp/>
        <stp>BDP|6037752931379767114</stp>
        <tr r="P28" s="2"/>
      </tp>
      <tp t="s">
        <v>#N/A Requesting Data...1725253620</v>
        <stp/>
        <stp>BDP|7480642226600608929</stp>
        <tr r="J113" s="2"/>
      </tp>
      <tp t="s">
        <v>#N/A Requesting Data...1795567857</v>
        <stp/>
        <stp>BDP|4738739081993078272</stp>
        <tr r="S103" s="2"/>
      </tp>
      <tp t="s">
        <v>#N/A Requesting Data...4204494803</v>
        <stp/>
        <stp>BDP|1087001095912586035</stp>
        <tr r="P96" s="2"/>
      </tp>
      <tp t="s">
        <v>#N/A N/A</v>
        <stp/>
        <stp>BDP|3253253209939914242</stp>
        <tr r="B118" s="2"/>
      </tp>
      <tp t="s">
        <v>#N/A Requesting Data...1723828444</v>
        <stp/>
        <stp>BDP|5620116734188471541</stp>
        <tr r="N5" s="2"/>
      </tp>
      <tp t="s">
        <v>#N/A Requesting Data...3212932195</v>
        <stp/>
        <stp>BDP|8349570104706193129</stp>
        <tr r="O151" s="2"/>
      </tp>
      <tp t="s">
        <v>#N/A Requesting Data...2939633502</v>
        <stp/>
        <stp>BDP|4153926026333034664</stp>
        <tr r="T41" s="2"/>
      </tp>
      <tp t="s">
        <v>#N/A Requesting Data...1196592039</v>
        <stp/>
        <stp>BDP|1993748739199643612</stp>
        <tr r="P56" s="2"/>
      </tp>
      <tp t="s">
        <v>#N/A Requesting Data...2468496213</v>
        <stp/>
        <stp>BDP|4994906217205871363</stp>
        <tr r="P99" s="2"/>
      </tp>
      <tp t="s">
        <v>#N/A Requesting Data...3204000878</v>
        <stp/>
        <stp>BDP|2566276882125318738</stp>
        <tr r="N69" s="2"/>
      </tp>
      <tp t="s">
        <v>#N/A N/A</v>
        <stp/>
        <stp>BDP|6917747387955823625</stp>
        <tr r="B7" s="2"/>
      </tp>
      <tp t="s">
        <v>#N/A Requesting Data...1285175863</v>
        <stp/>
        <stp>BDP|5144449886257440470</stp>
        <tr r="Y104" s="2"/>
      </tp>
      <tp t="s">
        <v>#N/A N/A</v>
        <stp/>
        <stp>BDP|8638040306340061245</stp>
        <tr r="I49" s="2"/>
      </tp>
      <tp t="s">
        <v>#N/A N/A</v>
        <stp/>
        <stp>BDP|2575631631535238852</stp>
        <tr r="C127" s="2"/>
      </tp>
      <tp t="s">
        <v>#N/A N/A</v>
        <stp/>
        <stp>BDP|9158349407866086628</stp>
        <tr r="F126" s="2"/>
      </tp>
      <tp t="s">
        <v>#N/A Requesting Data...4275427028</v>
        <stp/>
        <stp>BDP|1628852151803253517</stp>
        <tr r="X78" s="2"/>
      </tp>
      <tp t="s">
        <v>#N/A Requesting Data...3461467723</v>
        <stp/>
        <stp>BDP|3978646933219963565</stp>
        <tr r="X115" s="2"/>
      </tp>
      <tp t="s">
        <v>#N/A N/A</v>
        <stp/>
        <stp>BDP|8735965988151812206</stp>
        <tr r="F77" s="2"/>
      </tp>
      <tp t="s">
        <v>#N/A Requesting Data...3504396210</v>
        <stp/>
        <stp>BDP|2581653364430220879</stp>
        <tr r="Y131" s="2"/>
      </tp>
      <tp t="s">
        <v>#N/A Requesting Data...1768466309</v>
        <stp/>
        <stp>BDP|5668612563089219673</stp>
        <tr r="X116" s="2"/>
      </tp>
      <tp t="s">
        <v>#N/A Requesting Data...3005766520</v>
        <stp/>
        <stp>BDP|2720842452913772606</stp>
        <tr r="J133" s="2"/>
      </tp>
      <tp t="s">
        <v>#N/A N/A</v>
        <stp/>
        <stp>BDP|4697831657886424502</stp>
        <tr r="B104" s="2"/>
      </tp>
      <tp t="s">
        <v>#N/A Requesting Data...4288255209</v>
        <stp/>
        <stp>BDP|8081124352826250043</stp>
        <tr r="K73" s="2"/>
      </tp>
      <tp t="s">
        <v>#N/A Requesting Data...2426259648</v>
        <stp/>
        <stp>BDP|8333271311499544866</stp>
        <tr r="X128" s="2"/>
      </tp>
      <tp t="s">
        <v>#N/A Requesting Data...1949695725</v>
        <stp/>
        <stp>BDP|8715678333204381365</stp>
        <tr r="G31" s="2"/>
      </tp>
      <tp t="s">
        <v>#N/A Requesting Data...3591648066</v>
        <stp/>
        <stp>BDP|8276209700669453915</stp>
        <tr r="Q11" s="2"/>
      </tp>
      <tp t="s">
        <v>#N/A N/A</v>
        <stp/>
        <stp>BDP|3696010258498042486</stp>
        <tr r="F61" s="2"/>
      </tp>
      <tp t="s">
        <v>#N/A Requesting Data...2121530618</v>
        <stp/>
        <stp>BDP|8610014385742480814</stp>
        <tr r="N104" s="2"/>
      </tp>
      <tp t="s">
        <v>#N/A Requesting Data...1577699659</v>
        <stp/>
        <stp>BDP|4350707942224522933</stp>
        <tr r="N52" s="2"/>
      </tp>
      <tp t="s">
        <v>#N/A Requesting Data...3308451596</v>
        <stp/>
        <stp>BDP|7342923956287718674</stp>
        <tr r="K27" s="2"/>
      </tp>
      <tp t="s">
        <v>#N/A Requesting Data...2797385189</v>
        <stp/>
        <stp>BDP|3600427685015767014</stp>
        <tr r="Y145" s="2"/>
      </tp>
      <tp t="s">
        <v>#N/A Requesting Data...3867432438</v>
        <stp/>
        <stp>BDP|8053229779337498083</stp>
        <tr r="J138" s="2"/>
      </tp>
      <tp t="s">
        <v>#N/A Requesting Data...1995936925</v>
        <stp/>
        <stp>BDP|8637346144101647474</stp>
        <tr r="G142" s="2"/>
      </tp>
      <tp t="s">
        <v>#N/A N/A</v>
        <stp/>
        <stp>BDP|3314445871232091818</stp>
        <tr r="D38" s="2"/>
      </tp>
      <tp t="s">
        <v>#N/A Requesting Data...1023522610</v>
        <stp/>
        <stp>BDP|4216155726088389564</stp>
        <tr r="Y105" s="2"/>
      </tp>
      <tp t="s">
        <v>#N/A Requesting Data...2819258880</v>
        <stp/>
        <stp>BDP|3759679563748163166</stp>
        <tr r="Y136" s="2"/>
      </tp>
      <tp t="s">
        <v>#N/A N/A</v>
        <stp/>
        <stp>BDP|8032066070816368316</stp>
        <tr r="D109" s="2"/>
      </tp>
      <tp t="s">
        <v>#N/A N/A</v>
        <stp/>
        <stp>BDP|2485076696074609579</stp>
        <tr r="C161" s="2"/>
      </tp>
      <tp t="s">
        <v>#N/A N/A</v>
        <stp/>
        <stp>BDP|2263873173283758454</stp>
        <tr r="B11" s="2"/>
      </tp>
      <tp t="s">
        <v>#N/A Requesting Data...4225531717</v>
        <stp/>
        <stp>BDP|6142111642011161868</stp>
        <tr r="P149" s="2"/>
      </tp>
      <tp t="s">
        <v>#N/A Requesting Data...2585162595</v>
        <stp/>
        <stp>BDP|4102202020236679829</stp>
        <tr r="T109" s="2"/>
      </tp>
      <tp t="s">
        <v>#N/A N/A</v>
        <stp/>
        <stp>BDP|9777511176121029053</stp>
        <tr r="B60" s="2"/>
      </tp>
      <tp t="s">
        <v>#N/A Requesting Data...1563428749</v>
        <stp/>
        <stp>BDP|9688490814732411555</stp>
        <tr r="O119" s="2"/>
      </tp>
      <tp t="s">
        <v>#N/A N/A</v>
        <stp/>
        <stp>BDP|7155728556237751989</stp>
        <tr r="D129" s="2"/>
      </tp>
      <tp t="s">
        <v>#N/A N/A</v>
        <stp/>
        <stp>BDP|2117066893479803960</stp>
        <tr r="F12" s="2"/>
      </tp>
      <tp t="s">
        <v>#N/A N/A</v>
        <stp/>
        <stp>BDP|9693487236982218713</stp>
        <tr r="B35" s="2"/>
      </tp>
      <tp t="s">
        <v>#N/A Requesting Data...3650740503</v>
        <stp/>
        <stp>BDP|5213493661128498463</stp>
        <tr r="X91" s="2"/>
      </tp>
      <tp t="s">
        <v>#N/A Requesting Data...1858236896</v>
        <stp/>
        <stp>BDP|9947112291549882393</stp>
        <tr r="P65" s="2"/>
      </tp>
      <tp t="s">
        <v>#N/A Requesting Data...2224284032</v>
        <stp/>
        <stp>BDP|3399488034829343640</stp>
        <tr r="K147" s="2"/>
      </tp>
      <tp t="s">
        <v>#N/A N/A</v>
        <stp/>
        <stp>BDP|3680343389257049421</stp>
        <tr r="D60" s="2"/>
      </tp>
      <tp t="s">
        <v>#N/A Requesting Data...1246526271</v>
        <stp/>
        <stp>BDP|9838242051877333274</stp>
        <tr r="P40" s="2"/>
      </tp>
      <tp t="s">
        <v>#N/A N/A</v>
        <stp/>
        <stp>BDP|7202286080592788448</stp>
        <tr r="C152" s="2"/>
      </tp>
      <tp t="s">
        <v>#N/A Requesting Data...1252832055</v>
        <stp/>
        <stp>BDP|4987050747179580275</stp>
        <tr r="J36" s="2"/>
      </tp>
      <tp t="s">
        <v>#N/A Requesting Data...3380999260</v>
        <stp/>
        <stp>BDP|1887462482890064652</stp>
        <tr r="Y142" s="2"/>
      </tp>
      <tp t="s">
        <v>#N/A Requesting Data...825175788</v>
        <stp/>
        <stp>BDP|9918722665020484346</stp>
        <tr r="Y60" s="2"/>
      </tp>
      <tp t="s">
        <v>#N/A Requesting Data...4107718552</v>
        <stp/>
        <stp>BDP|3041143468757304810</stp>
        <tr r="Y74" s="2"/>
      </tp>
      <tp t="s">
        <v>#N/A N/A</v>
        <stp/>
        <stp>BDP|7355921935274984238</stp>
        <tr r="D44" s="2"/>
      </tp>
      <tp t="s">
        <v>#N/A Requesting Data...3856135008</v>
        <stp/>
        <stp>BDP|2626783079620197993</stp>
        <tr r="S134" s="2"/>
      </tp>
      <tp t="s">
        <v>#N/A Requesting Data...3769743796</v>
        <stp/>
        <stp>BDP|5985459028438961022</stp>
        <tr r="S90" s="2"/>
      </tp>
      <tp t="s">
        <v>#N/A N/A</v>
        <stp/>
        <stp>BDP|4419938439061219438</stp>
        <tr r="B32" s="2"/>
      </tp>
      <tp t="s">
        <v>#N/A Requesting Data...3422521369</v>
        <stp/>
        <stp>BDP|8593320900305089587</stp>
        <tr r="X127" s="2"/>
      </tp>
      <tp t="s">
        <v>#N/A Requesting Data...846421726</v>
        <stp/>
        <stp>BDP|1283282814300547949</stp>
        <tr r="Q38" s="2"/>
      </tp>
      <tp t="s">
        <v>#N/A Requesting Data...943447030</v>
        <stp/>
        <stp>BDP|1935932025823525260</stp>
        <tr r="P103" s="2"/>
      </tp>
      <tp t="s">
        <v>#N/A N/A</v>
        <stp/>
        <stp>BDP|6067926775382216199</stp>
        <tr r="C83" s="2"/>
      </tp>
      <tp t="s">
        <v>#N/A Requesting Data...3627344636</v>
        <stp/>
        <stp>BDP|8791215244973928676</stp>
        <tr r="J152" s="2"/>
      </tp>
      <tp t="s">
        <v>#N/A Requesting Data...3010374780</v>
        <stp/>
        <stp>BDP|9036281733201124261</stp>
        <tr r="J52" s="2"/>
      </tp>
      <tp t="s">
        <v>#N/A N/A</v>
        <stp/>
        <stp>BDP|9317912373559445590</stp>
        <tr r="C126" s="2"/>
      </tp>
      <tp t="s">
        <v>#N/A N/A</v>
        <stp/>
        <stp>BDP|2401980661993697576</stp>
        <tr r="D33" s="2"/>
      </tp>
      <tp t="s">
        <v>#N/A Requesting Data...938703761</v>
        <stp/>
        <stp>BDP|2876631843848500303</stp>
        <tr r="N124" s="2"/>
      </tp>
      <tp t="s">
        <v>#N/A N/A</v>
        <stp/>
        <stp>BDP|8324546078932293301</stp>
        <tr r="D50" s="2"/>
      </tp>
      <tp t="s">
        <v>#N/A Requesting Data...2484149921</v>
        <stp/>
        <stp>BDP|5837527142389378665</stp>
        <tr r="Q105" s="2"/>
      </tp>
      <tp t="s">
        <v>#N/A Requesting Data...1476797572</v>
        <stp/>
        <stp>BDP|8809721332156222174</stp>
        <tr r="K32" s="2"/>
      </tp>
      <tp t="s">
        <v>#N/A Requesting Data...2278244525</v>
        <stp/>
        <stp>BDP|9997285771674300317</stp>
        <tr r="K102" s="2"/>
      </tp>
      <tp t="s">
        <v>#N/A N/A</v>
        <stp/>
        <stp>BDP|3641178995043339353</stp>
        <tr r="F125" s="2"/>
      </tp>
      <tp t="s">
        <v>#N/A Requesting Data...1272867629</v>
        <stp/>
        <stp>BDP|3991299021459340105</stp>
        <tr r="Q18" s="2"/>
      </tp>
      <tp t="s">
        <v>#N/A N/A</v>
        <stp/>
        <stp>BDP|8520891953626973858</stp>
        <tr r="D100" s="2"/>
      </tp>
      <tp t="s">
        <v>#N/A N/A</v>
        <stp/>
        <stp>BDP|9119205591879537060</stp>
        <tr r="F105" s="2"/>
      </tp>
      <tp t="s">
        <v>#N/A N/A</v>
        <stp/>
        <stp>BDP|9220508330812029610</stp>
        <tr r="F38" s="2"/>
      </tp>
      <tp t="s">
        <v>#N/A N/A</v>
        <stp/>
        <stp>BDP|8955684105156577325</stp>
        <tr r="F119" s="2"/>
      </tp>
      <tp t="s">
        <v>#N/A Requesting Data...3372062409</v>
        <stp/>
        <stp>BDP|4615548118013806820</stp>
        <tr r="X160" s="2"/>
      </tp>
      <tp t="s">
        <v>#N/A Requesting Data...1464473336</v>
        <stp/>
        <stp>BDP|9208261632054310758</stp>
        <tr r="K43" s="2"/>
      </tp>
      <tp t="s">
        <v>#N/A Requesting Data...2436972142</v>
        <stp/>
        <stp>BDP|1726089500903877978</stp>
        <tr r="K159" s="2"/>
      </tp>
      <tp t="s">
        <v>#N/A N/A</v>
        <stp/>
        <stp>BDP|9091414277502270342</stp>
        <tr r="I91" s="2"/>
      </tp>
      <tp t="s">
        <v>#N/A Requesting Data...3998622314</v>
        <stp/>
        <stp>BDP|5670638892198177967</stp>
        <tr r="K58" s="2"/>
      </tp>
      <tp t="s">
        <v>#N/A Requesting Data...1027625580</v>
        <stp/>
        <stp>BDP|8519762623465301339</stp>
        <tr r="T162" s="2"/>
      </tp>
      <tp t="s">
        <v>#N/A Requesting Data...2588172404</v>
        <stp/>
        <stp>BDP|7294820131550148709</stp>
        <tr r="P22" s="2"/>
      </tp>
      <tp t="s">
        <v>#N/A Requesting Data...946031775</v>
        <stp/>
        <stp>BDP|4240433695695464706</stp>
        <tr r="J127" s="2"/>
      </tp>
      <tp t="s">
        <v>#N/A N/A</v>
        <stp/>
        <stp>BDP|4344315680764523074</stp>
        <tr r="I52" s="2"/>
      </tp>
      <tp t="s">
        <v>#N/A Requesting Data...2474965634</v>
        <stp/>
        <stp>BDP|7445739843369757639</stp>
        <tr r="J26" s="2"/>
      </tp>
      <tp t="s">
        <v>#N/A Requesting Data...3373608444</v>
        <stp/>
        <stp>BDP|6255397861231823920</stp>
        <tr r="G24" s="2"/>
      </tp>
      <tp t="s">
        <v>#N/A N/A</v>
        <stp/>
        <stp>BDP|7012204097461300658</stp>
        <tr r="I42" s="2"/>
      </tp>
      <tp t="s">
        <v>#N/A N/A</v>
        <stp/>
        <stp>BDP|1709552068869926025</stp>
        <tr r="C18" s="2"/>
      </tp>
      <tp t="s">
        <v>#N/A Requesting Data...3212708332</v>
        <stp/>
        <stp>BDP|6098883638756880095</stp>
        <tr r="G115" s="2"/>
      </tp>
      <tp t="s">
        <v>#N/A Requesting Data...1139807431</v>
        <stp/>
        <stp>BDP|8250474918861889742</stp>
        <tr r="K31" s="2"/>
      </tp>
      <tp t="s">
        <v>#N/A N/A</v>
        <stp/>
        <stp>BDP|9984176518175299754</stp>
        <tr r="B51" s="2"/>
      </tp>
      <tp t="s">
        <v>#N/A N/A</v>
        <stp/>
        <stp>BDP|7483817320884279264</stp>
        <tr r="I95" s="2"/>
      </tp>
      <tp t="s">
        <v>#N/A N/A</v>
        <stp/>
        <stp>BDP|2325612733208979492</stp>
        <tr r="D147" s="2"/>
      </tp>
      <tp t="s">
        <v>#N/A Requesting Data...2360851289</v>
        <stp/>
        <stp>BDP|1551044691604649705</stp>
        <tr r="G87" s="2"/>
      </tp>
      <tp t="s">
        <v>#N/A Requesting Data...2095601762</v>
        <stp/>
        <stp>BDP|2910912244751949536</stp>
        <tr r="P7" s="2"/>
      </tp>
      <tp t="s">
        <v>#N/A N/A</v>
        <stp/>
        <stp>BDP|8443248801578183978</stp>
        <tr r="F143" s="2"/>
      </tp>
      <tp t="s">
        <v>#N/A Requesting Data...1777983464</v>
        <stp/>
        <stp>BDP|2992614399831189775</stp>
        <tr r="Q84" s="2"/>
      </tp>
      <tp t="s">
        <v>#N/A Requesting Data...4125773456</v>
        <stp/>
        <stp>BDP|2688518026926324857</stp>
        <tr r="Q22" s="2"/>
      </tp>
      <tp t="s">
        <v>#N/A Requesting Data...3480113598</v>
        <stp/>
        <stp>BDP|1119442631378249510</stp>
        <tr r="K40" s="2"/>
      </tp>
      <tp t="s">
        <v>#N/A N/A</v>
        <stp/>
        <stp>BDP|2553801293381288901</stp>
        <tr r="C67" s="2"/>
      </tp>
      <tp t="s">
        <v>#N/A N/A</v>
        <stp/>
        <stp>BDP|4918098202477793815</stp>
        <tr r="C45" s="2"/>
      </tp>
      <tp t="s">
        <v>#N/A Requesting Data...627597338</v>
        <stp/>
        <stp>BDP|7120546158024131887</stp>
        <tr r="S117" s="2"/>
      </tp>
      <tp t="s">
        <v>#N/A Requesting Data...3130393935</v>
        <stp/>
        <stp>BDP|6483808120300591758</stp>
        <tr r="T147" s="2"/>
      </tp>
      <tp t="s">
        <v>#N/A N/A</v>
        <stp/>
        <stp>BDP|2478175726773020912</stp>
        <tr r="B123" s="2"/>
      </tp>
      <tp t="s">
        <v>#N/A Requesting Data...569688920</v>
        <stp/>
        <stp>BDP|8141337276986246137</stp>
        <tr r="K142" s="2"/>
      </tp>
      <tp t="s">
        <v>#N/A Requesting Data...3290723033</v>
        <stp/>
        <stp>BDP|5768128970719156114</stp>
        <tr r="Q40" s="2"/>
      </tp>
      <tp t="s">
        <v>#N/A Requesting Data...1618096371</v>
        <stp/>
        <stp>BDP|6176547088124976419</stp>
        <tr r="T20" s="2"/>
      </tp>
      <tp t="s">
        <v>#N/A N/A</v>
        <stp/>
        <stp>BDP|4121448722600125930</stp>
        <tr r="F34" s="2"/>
      </tp>
      <tp t="s">
        <v>#N/A N/A</v>
        <stp/>
        <stp>BDP|1787782178682573782</stp>
        <tr r="F159" s="2"/>
      </tp>
      <tp t="s">
        <v>#N/A Requesting Data...3401432108</v>
        <stp/>
        <stp>BDP|2773702819438668825</stp>
        <tr r="J64" s="2"/>
      </tp>
      <tp t="s">
        <v>#N/A Requesting Data...622457329</v>
        <stp/>
        <stp>BDP|4915677245872432058</stp>
        <tr r="J21" s="2"/>
      </tp>
      <tp t="s">
        <v>#N/A N/A</v>
        <stp/>
        <stp>BDP|9155124438636786976</stp>
        <tr r="C134" s="2"/>
      </tp>
      <tp t="s">
        <v>#N/A Requesting Data...3719966859</v>
        <stp/>
        <stp>BDP|3137682720763557078</stp>
        <tr r="O29" s="2"/>
      </tp>
      <tp t="s">
        <v>#N/A Requesting Data...655690987</v>
        <stp/>
        <stp>BDP|5407389646676615075</stp>
        <tr r="K18" s="2"/>
      </tp>
      <tp t="s">
        <v>#N/A N/A</v>
        <stp/>
        <stp>BDP|9696235185682295599</stp>
        <tr r="D94" s="2"/>
      </tp>
      <tp t="s">
        <v>#N/A Requesting Data...851749542</v>
        <stp/>
        <stp>BDP|3457698456900546455</stp>
        <tr r="S57" s="2"/>
      </tp>
      <tp t="s">
        <v>#N/A Requesting Data...731220784</v>
        <stp/>
        <stp>BDP|5445761752666214596</stp>
        <tr r="O135" s="2"/>
      </tp>
      <tp t="s">
        <v>#N/A Requesting Data...723875793</v>
        <stp/>
        <stp>BDP|6503080136532462345</stp>
        <tr r="J156" s="2"/>
      </tp>
      <tp t="s">
        <v>#N/A N/A</v>
        <stp/>
        <stp>BDP|8216919424182702581</stp>
        <tr r="D97" s="2"/>
      </tp>
      <tp t="s">
        <v>#N/A Requesting Data...2105971440</v>
        <stp/>
        <stp>BDP|5902135147882465611</stp>
        <tr r="Y150" s="2"/>
      </tp>
      <tp t="s">
        <v>#N/A N/A</v>
        <stp/>
        <stp>BDP|7059264879115255358</stp>
        <tr r="B9" s="2"/>
      </tp>
      <tp t="s">
        <v>#N/A Requesting Data...1695414627</v>
        <stp/>
        <stp>BDP|8625738497097374590</stp>
        <tr r="Y163" s="2"/>
      </tp>
      <tp t="s">
        <v>#N/A N/A</v>
        <stp/>
        <stp>BDP|4706308919835102772</stp>
        <tr r="F99" s="2"/>
      </tp>
      <tp t="s">
        <v>#N/A Requesting Data...2689511860</v>
        <stp/>
        <stp>BDP|5917310711596039509</stp>
        <tr r="Y115" s="2"/>
      </tp>
      <tp t="s">
        <v>#N/A Requesting Data...1915578252</v>
        <stp/>
        <stp>BDP|8954584234939921322</stp>
        <tr r="Q2" s="2"/>
      </tp>
      <tp t="s">
        <v>#N/A N/A</v>
        <stp/>
        <stp>BDP|2891303050549643903</stp>
        <tr r="D31" s="2"/>
      </tp>
      <tp t="s">
        <v>#N/A Requesting Data...3303704763</v>
        <stp/>
        <stp>BDP|9263620833611586989</stp>
        <tr r="P158" s="2"/>
      </tp>
      <tp t="s">
        <v>#N/A Requesting Data...1911554426</v>
        <stp/>
        <stp>BDP|5956917750984170979</stp>
        <tr r="T17" s="2"/>
      </tp>
      <tp t="s">
        <v>#N/A Requesting Data...1895012227</v>
        <stp/>
        <stp>BDP|6811268016831006067</stp>
        <tr r="S59" s="2"/>
      </tp>
      <tp t="s">
        <v>#N/A N/A</v>
        <stp/>
        <stp>BDP|2895940583962713567</stp>
        <tr r="B30" s="2"/>
      </tp>
      <tp t="s">
        <v>#N/A Requesting Data...3060295793</v>
        <stp/>
        <stp>BDP|5310622546566056595</stp>
        <tr r="K19" s="2"/>
      </tp>
      <tp t="s">
        <v>#N/A Requesting Data...1762263172</v>
        <stp/>
        <stp>BDP|6433134361614878117</stp>
        <tr r="Q33" s="2"/>
      </tp>
      <tp t="s">
        <v>#N/A Requesting Data...726298494</v>
        <stp/>
        <stp>BDP|1085889503069207467</stp>
        <tr r="N72" s="2"/>
      </tp>
      <tp t="s">
        <v>#N/A Requesting Data...2902098522</v>
        <stp/>
        <stp>BDP|4991241709192153092</stp>
        <tr r="S10" s="2"/>
      </tp>
      <tp t="s">
        <v>#N/A Requesting Data...4235365133</v>
        <stp/>
        <stp>BDP|5179196369297979145</stp>
        <tr r="X60" s="2"/>
      </tp>
      <tp t="s">
        <v>#N/A Requesting Data...2949335301</v>
        <stp/>
        <stp>BDP|7133981956756428975</stp>
        <tr r="G92" s="2"/>
      </tp>
      <tp t="s">
        <v>#N/A Requesting Data...1197964217</v>
        <stp/>
        <stp>BDP|7693596972544159515</stp>
        <tr r="Y38" s="2"/>
      </tp>
      <tp t="s">
        <v>#N/A Requesting Data...799041852</v>
        <stp/>
        <stp>BDP|1166187074925056602</stp>
        <tr r="J12" s="2"/>
      </tp>
      <tp t="s">
        <v>#N/A Requesting Data...2145859864</v>
        <stp/>
        <stp>BDP|2205316837781115780</stp>
        <tr r="Y65" s="2"/>
      </tp>
      <tp t="s">
        <v>#N/A Requesting Data...2314994106</v>
        <stp/>
        <stp>BDP|7854291406815567403</stp>
        <tr r="P55" s="2"/>
      </tp>
      <tp t="s">
        <v>#N/A N/A</v>
        <stp/>
        <stp>BDP|6714152584718486300</stp>
        <tr r="D76" s="2"/>
      </tp>
      <tp t="s">
        <v>#N/A Requesting Data...1212015809</v>
        <stp/>
        <stp>BDP|4749625381109578739</stp>
        <tr r="P160" s="2"/>
      </tp>
      <tp t="s">
        <v>#N/A N/A</v>
        <stp/>
        <stp>BDP|5884657128496203359</stp>
        <tr r="I85" s="2"/>
      </tp>
      <tp t="s">
        <v>#N/A N/A</v>
        <stp/>
        <stp>BDP|4139973089317464690</stp>
        <tr r="D4" s="2"/>
      </tp>
      <tp t="s">
        <v>#N/A N/A</v>
        <stp/>
        <stp>BDP|4024405678313252087</stp>
        <tr r="I96" s="2"/>
      </tp>
      <tp t="s">
        <v>#N/A N/A</v>
        <stp/>
        <stp>BDP|8809995990178744446</stp>
        <tr r="D140" s="2"/>
      </tp>
      <tp t="s">
        <v>#N/A N/A</v>
        <stp/>
        <stp>BDP|2554344729031224693</stp>
        <tr r="B113" s="2"/>
      </tp>
      <tp t="s">
        <v>#N/A N/A</v>
        <stp/>
        <stp>BDP|7696537900511795712</stp>
        <tr r="F107" s="2"/>
      </tp>
      <tp t="s">
        <v>#N/A Requesting Data...829392906</v>
        <stp/>
        <stp>BDP|6450428940816154447</stp>
        <tr r="X148" s="2"/>
      </tp>
      <tp t="s">
        <v>#N/A Requesting Data...1717426884</v>
        <stp/>
        <stp>BDP|5151381229556013609</stp>
        <tr r="K140" s="2"/>
      </tp>
      <tp t="s">
        <v>#N/A Requesting Data...3090775040</v>
        <stp/>
        <stp>BDP|4914429643782941210</stp>
        <tr r="X54" s="2"/>
      </tp>
      <tp t="s">
        <v>#N/A Requesting Data...3136190036</v>
        <stp/>
        <stp>BDP|1883076059231679104</stp>
        <tr r="Q127" s="2"/>
      </tp>
      <tp t="s">
        <v>#N/A Requesting Data...4159524505</v>
        <stp/>
        <stp>BDP|7200770842957558722</stp>
        <tr r="X72" s="2"/>
      </tp>
      <tp t="s">
        <v>#N/A Requesting Data...3811232892</v>
        <stp/>
        <stp>BDP|5233148141704024070</stp>
        <tr r="P46" s="2"/>
      </tp>
      <tp t="s">
        <v>#N/A Requesting Data...2159046071</v>
        <stp/>
        <stp>BDP|1419286997447937924</stp>
        <tr r="P80" s="2"/>
      </tp>
      <tp t="s">
        <v>#N/A Requesting Data...1841309829</v>
        <stp/>
        <stp>BDP|7195392743355813120</stp>
        <tr r="X89" s="2"/>
      </tp>
      <tp t="s">
        <v>#N/A Requesting Data...2488057655</v>
        <stp/>
        <stp>BDP|3435848546349121262</stp>
        <tr r="T9" s="2"/>
      </tp>
      <tp t="s">
        <v>#N/A Requesting Data...3711294901</v>
        <stp/>
        <stp>BDP|1203515946520782435</stp>
        <tr r="S97" s="2"/>
      </tp>
      <tp t="s">
        <v>#N/A N/A</v>
        <stp/>
        <stp>BDP|8411834791988796500</stp>
        <tr r="F22" s="2"/>
      </tp>
      <tp t="s">
        <v>#N/A N/A</v>
        <stp/>
        <stp>BDP|1756716740894949295</stp>
        <tr r="B101" s="2"/>
      </tp>
      <tp t="s">
        <v>#N/A Requesting Data...631307408</v>
        <stp/>
        <stp>BDP|9889850118096342201</stp>
        <tr r="J24" s="2"/>
      </tp>
      <tp t="s">
        <v>#N/A Requesting Data...3634615381</v>
        <stp/>
        <stp>BDP|7170428912535026374</stp>
        <tr r="J163" s="2"/>
      </tp>
      <tp t="s">
        <v>#N/A Requesting Data...1259478249</v>
        <stp/>
        <stp>BDP|8438296517058432789</stp>
        <tr r="S37" s="2"/>
      </tp>
      <tp t="s">
        <v>#N/A Requesting Data...2778274092</v>
        <stp/>
        <stp>BDP|1376443121762237120</stp>
        <tr r="T45" s="2"/>
      </tp>
      <tp t="s">
        <v>#N/A Requesting Data...1502062842</v>
        <stp/>
        <stp>BDP|9442924054161067047</stp>
        <tr r="S111" s="2"/>
      </tp>
      <tp t="s">
        <v>#N/A Requesting Data...2959490890</v>
        <stp/>
        <stp>BDP|1115597898868766118</stp>
        <tr r="T122" s="2"/>
      </tp>
      <tp t="s">
        <v>#N/A N/A</v>
        <stp/>
        <stp>BDP|3388896554988955210</stp>
        <tr r="I71" s="2"/>
      </tp>
      <tp t="s">
        <v>#N/A Requesting Data...1087182912</v>
        <stp/>
        <stp>BDP|1471063647639461871</stp>
        <tr r="Q44" s="2"/>
      </tp>
      <tp t="s">
        <v>#N/A Requesting Data...3011144091</v>
        <stp/>
        <stp>BDP|3659265881538227552</stp>
        <tr r="P121" s="2"/>
      </tp>
      <tp t="s">
        <v>#N/A N/A</v>
        <stp/>
        <stp>BDP|5856411553485567591</stp>
        <tr r="C77" s="2"/>
      </tp>
      <tp t="s">
        <v>#N/A N/A</v>
        <stp/>
        <stp>BDP|4767277599138610380</stp>
        <tr r="B120" s="2"/>
      </tp>
      <tp t="s">
        <v>#N/A N/A</v>
        <stp/>
        <stp>BDP|5572676601685128255</stp>
        <tr r="C26" s="2"/>
      </tp>
      <tp t="s">
        <v>#N/A N/A</v>
        <stp/>
        <stp>BDP|4515266343795526322</stp>
        <tr r="F32" s="2"/>
      </tp>
      <tp t="s">
        <v>#N/A N/A</v>
        <stp/>
        <stp>BDP|5334005956393505772</stp>
        <tr r="D124" s="2"/>
      </tp>
      <tp t="s">
        <v>#N/A N/A</v>
        <stp/>
        <stp>BDP|3887444635179957941</stp>
        <tr r="C137" s="2"/>
      </tp>
      <tp t="s">
        <v>#N/A Requesting Data...3006257815</v>
        <stp/>
        <stp>BDP|3374315981095493931</stp>
        <tr r="N20" s="2"/>
      </tp>
      <tp t="s">
        <v>#N/A Requesting Data...3614788293</v>
        <stp/>
        <stp>BDP|4350029234991305228</stp>
        <tr r="J23" s="2"/>
      </tp>
      <tp t="s">
        <v>#N/A N/A</v>
        <stp/>
        <stp>BDP|3482029706202759535</stp>
        <tr r="D6" s="2"/>
      </tp>
      <tp t="s">
        <v>#N/A N/A</v>
        <stp/>
        <stp>BDP|8411012178442018995</stp>
        <tr r="I125" s="2"/>
      </tp>
      <tp t="s">
        <v>#N/A Requesting Data...2905633341</v>
        <stp/>
        <stp>BDP|5030730134573757641</stp>
        <tr r="Y25" s="2"/>
      </tp>
      <tp t="s">
        <v>#N/A Requesting Data...2981081418</v>
        <stp/>
        <stp>BDP|1445078036832420451</stp>
        <tr r="G56" s="2"/>
      </tp>
      <tp t="s">
        <v>#N/A Requesting Data...2832350192</v>
        <stp/>
        <stp>BDP|9553899717362790681</stp>
        <tr r="G35" s="2"/>
      </tp>
      <tp t="s">
        <v>#N/A Requesting Data...1155361211</v>
        <stp/>
        <stp>BDP|7582555055275846772</stp>
        <tr r="O161" s="2"/>
      </tp>
      <tp t="s">
        <v>#N/A Requesting Data...2209432540</v>
        <stp/>
        <stp>BDP|1598027128860292675</stp>
        <tr r="N141" s="2"/>
      </tp>
      <tp t="s">
        <v>#N/A N/A</v>
        <stp/>
        <stp>BDP|9951045261603746913</stp>
        <tr r="B144" s="2"/>
      </tp>
      <tp t="s">
        <v>#N/A Requesting Data...3343084487</v>
        <stp/>
        <stp>BDP|1859782902622063185</stp>
        <tr r="Y151" s="2"/>
      </tp>
      <tp t="s">
        <v>#N/A Requesting Data...715989275</v>
        <stp/>
        <stp>BDP|8375862973082517096</stp>
        <tr r="S108" s="2"/>
      </tp>
      <tp t="s">
        <v>#N/A Requesting Data...4238930802</v>
        <stp/>
        <stp>BDP|6447239948790071559</stp>
        <tr r="Y18" s="2"/>
      </tp>
      <tp t="s">
        <v>#N/A Requesting Data...2646097773</v>
        <stp/>
        <stp>BDP|3721569549212048534</stp>
        <tr r="Q95" s="2"/>
      </tp>
      <tp t="s">
        <v>#N/A N/A</v>
        <stp/>
        <stp>BDP|2182565948671666727</stp>
        <tr r="B50" s="2"/>
      </tp>
      <tp t="s">
        <v>#N/A Requesting Data...1369534513</v>
        <stp/>
        <stp>BDP|3258010309433985585</stp>
        <tr r="J88" s="2"/>
      </tp>
      <tp t="s">
        <v>#N/A Requesting Data...3716837097</v>
        <stp/>
        <stp>BDP|2552859289392468566</stp>
        <tr r="K109" s="2"/>
      </tp>
      <tp t="s">
        <v>#N/A Requesting Data...1788798886</v>
        <stp/>
        <stp>BDP|5631517958948398875</stp>
        <tr r="Y36" s="2"/>
      </tp>
      <tp t="s">
        <v>#N/A N/A</v>
        <stp/>
        <stp>BDP|9534855535586674185</stp>
        <tr r="D8" s="2"/>
      </tp>
      <tp t="s">
        <v>#N/A Requesting Data...967071182</v>
        <stp/>
        <stp>BDP|8321093395816380241</stp>
        <tr r="X19" s="2"/>
      </tp>
      <tp t="s">
        <v>#N/A Requesting Data...2524836618</v>
        <stp/>
        <stp>BDP|3686252958901728046</stp>
        <tr r="S144" s="2"/>
      </tp>
      <tp t="s">
        <v>#N/A N/A</v>
        <stp/>
        <stp>BDP|3432227809751762503</stp>
        <tr r="B74" s="2"/>
      </tp>
      <tp t="s">
        <v>#N/A N/A</v>
        <stp/>
        <stp>BDP|4681227159173338575</stp>
        <tr r="D130" s="2"/>
      </tp>
      <tp t="s">
        <v>#N/A Requesting Data...3267421219</v>
        <stp/>
        <stp>BDP|3701036779286459704</stp>
        <tr r="Q25" s="2"/>
      </tp>
      <tp t="s">
        <v>#N/A Requesting Data...2717775467</v>
        <stp/>
        <stp>BDP|5764192094119472176</stp>
        <tr r="G52" s="2"/>
      </tp>
      <tp t="s">
        <v>#N/A Requesting Data...1018555118</v>
        <stp/>
        <stp>BDP|7416677239493679428</stp>
        <tr r="O152" s="2"/>
      </tp>
      <tp t="s">
        <v>#N/A Requesting Data...3849939206</v>
        <stp/>
        <stp>BDP|1478942145269303088</stp>
        <tr r="G160" s="2"/>
      </tp>
      <tp t="s">
        <v>#N/A Requesting Data...702566436</v>
        <stp/>
        <stp>BDP|4972233949543997449</stp>
        <tr r="J95" s="2"/>
      </tp>
      <tp t="s">
        <v>#N/A Requesting Data...1399569183</v>
        <stp/>
        <stp>BDP|3399675107795975549</stp>
        <tr r="J79" s="2"/>
      </tp>
      <tp t="s">
        <v>#N/A N/A</v>
        <stp/>
        <stp>BDP|6353366913118038987</stp>
        <tr r="I75" s="2"/>
      </tp>
      <tp t="s">
        <v>#N/A Requesting Data...2603693007</v>
        <stp/>
        <stp>BDP|8880430131443428908</stp>
        <tr r="O59" s="2"/>
      </tp>
      <tp t="s">
        <v>#N/A Requesting Data...1204911263</v>
        <stp/>
        <stp>BDP|6979557343820244220</stp>
        <tr r="P150" s="2"/>
      </tp>
      <tp t="s">
        <v>#N/A Requesting Data...2818899811</v>
        <stp/>
        <stp>BDP|5265627304493345586</stp>
        <tr r="S99" s="2"/>
      </tp>
      <tp t="s">
        <v>#N/A Requesting Data...1727395329</v>
        <stp/>
        <stp>BDP|2070129079603737207</stp>
        <tr r="O126" s="2"/>
      </tp>
      <tp t="s">
        <v>#N/A Requesting Data...801276026</v>
        <stp/>
        <stp>BDP|1950058603540387406</stp>
        <tr r="Y61" s="2"/>
      </tp>
      <tp t="s">
        <v>#N/A Requesting Data...3412200116</v>
        <stp/>
        <stp>BDP|4776048156025832104</stp>
        <tr r="G104" s="2"/>
      </tp>
      <tp t="s">
        <v>#N/A N/A</v>
        <stp/>
        <stp>BDP|9178441677739803672</stp>
        <tr r="B117" s="2"/>
      </tp>
      <tp t="s">
        <v>#N/A Requesting Data...2042473608</v>
        <stp/>
        <stp>BDP|6290929758368602731</stp>
        <tr r="J93" s="2"/>
      </tp>
      <tp t="s">
        <v>#N/A N/A</v>
        <stp/>
        <stp>BDP|2437767013620868146</stp>
        <tr r="I120" s="2"/>
      </tp>
      <tp t="s">
        <v>#N/A N/A</v>
        <stp/>
        <stp>BDP|3146148219303094512</stp>
        <tr r="F63" s="2"/>
      </tp>
      <tp t="s">
        <v>#N/A N/A</v>
        <stp/>
        <stp>BDP|9008836829186215052</stp>
        <tr r="D113" s="2"/>
      </tp>
      <tp t="s">
        <v>#N/A N/A</v>
        <stp/>
        <stp>BDP|2948885409788555705</stp>
        <tr r="F91" s="2"/>
      </tp>
      <tp t="s">
        <v>#N/A Requesting Data...3731715511</v>
        <stp/>
        <stp>BDP|1738124021433590433</stp>
        <tr r="X158" s="2"/>
      </tp>
      <tp t="s">
        <v>#N/A Requesting Data...2783183159</v>
        <stp/>
        <stp>BDP|2149369747370115032</stp>
        <tr r="O48" s="2"/>
      </tp>
      <tp t="s">
        <v>#N/A Requesting Data...2208340724</v>
        <stp/>
        <stp>BDP|7370284875351853647</stp>
        <tr r="N134" s="2"/>
      </tp>
      <tp t="s">
        <v>#N/A Requesting Data...1754426339</v>
        <stp/>
        <stp>BDP|3202390429406634162</stp>
        <tr r="S8" s="2"/>
      </tp>
      <tp t="s">
        <v>#N/A Requesting Data...2507906256</v>
        <stp/>
        <stp>BDP|6303008263404219109</stp>
        <tr r="S84" s="2"/>
      </tp>
      <tp t="s">
        <v>#N/A N/A</v>
        <stp/>
        <stp>BDP|7666067330536705753</stp>
        <tr r="F136" s="2"/>
      </tp>
      <tp t="s">
        <v>#N/A N/A</v>
        <stp/>
        <stp>BDP|8508864230077733160</stp>
        <tr r="C85" s="2"/>
      </tp>
      <tp t="s">
        <v>#N/A N/A</v>
        <stp/>
        <stp>BDP|4570947881481761154</stp>
        <tr r="B66" s="2"/>
      </tp>
      <tp t="s">
        <v>#N/A Requesting Data...1988435056</v>
        <stp/>
        <stp>BDP|1964277451907865445</stp>
        <tr r="K107" s="2"/>
      </tp>
      <tp t="s">
        <v>#N/A Requesting Data...2927922648</v>
        <stp/>
        <stp>BDP|8651252305879732621</stp>
        <tr r="J69" s="2"/>
      </tp>
      <tp t="s">
        <v>#N/A Requesting Data...1296957989</v>
        <stp/>
        <stp>BDP|9645817171782500107</stp>
        <tr r="Q112" s="2"/>
      </tp>
      <tp t="s">
        <v>#N/A Requesting Data...4083495808</v>
        <stp/>
        <stp>BDP|3217244002606003274</stp>
        <tr r="Y96" s="2"/>
      </tp>
      <tp t="s">
        <v>#N/A Requesting Data...3629365747</v>
        <stp/>
        <stp>BDP|7290086347735416390</stp>
        <tr r="G65" s="2"/>
      </tp>
      <tp t="s">
        <v>#N/A Requesting Data...1887741541</v>
        <stp/>
        <stp>BDP|2820838793473010586</stp>
        <tr r="X20" s="2"/>
      </tp>
      <tp t="s">
        <v>#N/A N/A</v>
        <stp/>
        <stp>BDP|7732642661850677244</stp>
        <tr r="I14" s="2"/>
      </tp>
      <tp t="s">
        <v>#N/A Requesting Data...1296236379</v>
        <stp/>
        <stp>BDP|1492782608726111552</stp>
        <tr r="P112" s="2"/>
      </tp>
      <tp t="s">
        <v>#N/A N/A</v>
        <stp/>
        <stp>BDP|9725054015575443835</stp>
        <tr r="C27" s="2"/>
      </tp>
      <tp t="s">
        <v>#N/A Requesting Data...3204778415</v>
        <stp/>
        <stp>BDP|9459773325829780014</stp>
        <tr r="N87" s="2"/>
      </tp>
      <tp t="s">
        <v>#N/A Requesting Data...2030441339</v>
        <stp/>
        <stp>BDP|8144449836589155328</stp>
        <tr r="J59" s="2"/>
      </tp>
      <tp t="s">
        <v>#N/A Requesting Data...2249814129</v>
        <stp/>
        <stp>BDP|5242998583236821708</stp>
        <tr r="K48" s="2"/>
      </tp>
      <tp t="s">
        <v>#N/A N/A</v>
        <stp/>
        <stp>BDP|2024676483959599013</stp>
        <tr r="D110" s="2"/>
      </tp>
      <tp t="s">
        <v>#N/A Requesting Data...2518384948</v>
        <stp/>
        <stp>BDP|7324683928494084224</stp>
        <tr r="X7" s="2"/>
      </tp>
      <tp t="s">
        <v>#N/A Requesting Data...822138359</v>
        <stp/>
        <stp>BDP|3399553205451119235</stp>
        <tr r="Q15" s="2"/>
      </tp>
      <tp t="s">
        <v>#N/A Requesting Data...2718584458</v>
        <stp/>
        <stp>BDP|6535781117052383780</stp>
        <tr r="O20" s="2"/>
      </tp>
      <tp t="s">
        <v>#N/A Requesting Data...3003955737</v>
        <stp/>
        <stp>BDP|6249650420652694501</stp>
        <tr r="O70" s="2"/>
      </tp>
      <tp t="s">
        <v>#N/A Requesting Data...1725813299</v>
        <stp/>
        <stp>BDP|6049872507489291234</stp>
        <tr r="P154" s="2"/>
      </tp>
      <tp t="s">
        <v>#N/A Requesting Data...1825081258</v>
        <stp/>
        <stp>BDP|1936247125453111781</stp>
        <tr r="K120" s="2"/>
      </tp>
      <tp t="s">
        <v>#N/A Requesting Data...2807351497</v>
        <stp/>
        <stp>BDP|3989306620503910419</stp>
        <tr r="X80" s="2"/>
      </tp>
      <tp t="s">
        <v>#N/A Requesting Data...4212593511</v>
        <stp/>
        <stp>BDP|5171863536339008203</stp>
        <tr r="K126" s="2"/>
      </tp>
      <tp t="s">
        <v>#N/A Requesting Data...2882162244</v>
        <stp/>
        <stp>BDP|2959829184076170183</stp>
        <tr r="Y8" s="2"/>
      </tp>
      <tp t="s">
        <v>#N/A Requesting Data...728923013</v>
        <stp/>
        <stp>BDP|6386442457260244247</stp>
        <tr r="Y119" s="2"/>
      </tp>
      <tp t="s">
        <v>#N/A Requesting Data...1150753448</v>
        <stp/>
        <stp>BDP|5340422928706997063</stp>
        <tr r="S54" s="2"/>
      </tp>
      <tp t="s">
        <v>#N/A Requesting Data...1978706987</v>
        <stp/>
        <stp>BDP|2463621523623444074</stp>
        <tr r="S78" s="2"/>
      </tp>
      <tp t="s">
        <v>#N/A Requesting Data...4032787576</v>
        <stp/>
        <stp>BDP|2659915582552274412</stp>
        <tr r="J159" s="2"/>
      </tp>
      <tp t="s">
        <v>#N/A N/A</v>
        <stp/>
        <stp>BDP|7186180010931701382</stp>
        <tr r="C122" s="2"/>
      </tp>
      <tp t="s">
        <v>#N/A Requesting Data...3172932472</v>
        <stp/>
        <stp>BDP|4794227223996359730</stp>
        <tr r="Q116" s="2"/>
      </tp>
      <tp t="s">
        <v>#N/A Requesting Data...2361875322</v>
        <stp/>
        <stp>BDP|9703280423309865527</stp>
        <tr r="P61" s="2"/>
      </tp>
      <tp t="s">
        <v>#N/A Requesting Data...1445537140</v>
        <stp/>
        <stp>BDP|3947506538433594336</stp>
        <tr r="X93" s="2"/>
      </tp>
      <tp t="s">
        <v>#N/A Requesting Data...4065040746</v>
        <stp/>
        <stp>BDP|9266098659520123943</stp>
        <tr r="P107" s="2"/>
      </tp>
      <tp t="s">
        <v>#N/A Requesting Data...3862208151</v>
        <stp/>
        <stp>BDP|6647840282910779332</stp>
        <tr r="O82" s="2"/>
      </tp>
      <tp t="s">
        <v>#N/A Requesting Data...1614916615</v>
        <stp/>
        <stp>BDP|1659626874072201769</stp>
        <tr r="J56" s="2"/>
      </tp>
      <tp t="s">
        <v>#N/A Requesting Data...4071801727</v>
        <stp/>
        <stp>BDP|7748439781416535847</stp>
        <tr r="J67" s="2"/>
      </tp>
      <tp t="s">
        <v>#N/A Requesting Data...4046980715</v>
        <stp/>
        <stp>BDP|4209769865493222379</stp>
        <tr r="N17" s="2"/>
      </tp>
      <tp t="s">
        <v>#N/A Requesting Data...3032142717</v>
        <stp/>
        <stp>BDP|4683851284361033021</stp>
        <tr r="P31" s="2"/>
      </tp>
      <tp t="s">
        <v>#N/A Requesting Data...2121162062</v>
        <stp/>
        <stp>BDP|7736988361908393585</stp>
        <tr r="J158" s="2"/>
      </tp>
      <tp t="s">
        <v>#N/A Requesting Data...2982481616</v>
        <stp/>
        <stp>BDP|9542540932218253240</stp>
        <tr r="K150" s="2"/>
      </tp>
      <tp t="s">
        <v>#N/A N/A</v>
        <stp/>
        <stp>BDP|9201606027608616064</stp>
        <tr r="C11" s="2"/>
      </tp>
      <tp t="s">
        <v>#N/A N/A</v>
        <stp/>
        <stp>BDP|3169315775124452641</stp>
        <tr r="C51" s="2"/>
      </tp>
      <tp t="s">
        <v>#N/A Requesting Data...969182223</v>
        <stp/>
        <stp>BDP|1995317417290763520</stp>
        <tr r="T59" s="2"/>
      </tp>
      <tp t="s">
        <v>#N/A Requesting Data...3779942655</v>
        <stp/>
        <stp>BDP|5501580976803371222</stp>
        <tr r="G47" s="2"/>
      </tp>
      <tp t="s">
        <v>#N/A Requesting Data...2012447884</v>
        <stp/>
        <stp>BDP|5396115903545285791</stp>
        <tr r="X46" s="2"/>
      </tp>
      <tp t="s">
        <v>#N/A Requesting Data...2824978303</v>
        <stp/>
        <stp>BDP|7252258875693108799</stp>
        <tr r="P120" s="2"/>
      </tp>
      <tp t="s">
        <v>#N/A Requesting Data...1526062353</v>
        <stp/>
        <stp>BDP|7440646449404055736</stp>
        <tr r="X145" s="2"/>
      </tp>
      <tp t="s">
        <v>#N/A N/A</v>
        <stp/>
        <stp>BDP|9991628397029621907</stp>
        <tr r="D118" s="2"/>
      </tp>
      <tp t="s">
        <v>#N/A Requesting Data...1561749115</v>
        <stp/>
        <stp>BDP|2350622475346779397</stp>
        <tr r="J80" s="2"/>
      </tp>
      <tp t="s">
        <v>#N/A Requesting Data...1635475625</v>
        <stp/>
        <stp>BDP|4129098781173799959</stp>
        <tr r="X150" s="2"/>
      </tp>
      <tp t="s">
        <v>#N/A Requesting Data...3687303362</v>
        <stp/>
        <stp>BDP|2721955927849764696</stp>
        <tr r="G70" s="2"/>
      </tp>
      <tp t="s">
        <v>#N/A Requesting Data...3775784057</v>
        <stp/>
        <stp>BDP|6621290772747037265</stp>
        <tr r="O122" s="2"/>
      </tp>
      <tp t="s">
        <v>#N/A Requesting Data...1018485929</v>
        <stp/>
        <stp>BDP|1071665417449313995</stp>
        <tr r="G54" s="2"/>
      </tp>
      <tp t="s">
        <v>#N/A Requesting Data...3429734638</v>
        <stp/>
        <stp>BDP|6627334723218952945</stp>
        <tr r="P125" s="2"/>
      </tp>
      <tp t="s">
        <v>#N/A N/A</v>
        <stp/>
        <stp>BDP|7261068609987645604</stp>
        <tr r="C108" s="2"/>
      </tp>
      <tp t="s">
        <v>#N/A N/A</v>
        <stp/>
        <stp>BDP|5137125538539689852</stp>
        <tr r="B154" s="2"/>
      </tp>
      <tp t="s">
        <v>#N/A N/A</v>
        <stp/>
        <stp>BDP|8463878274962641399</stp>
        <tr r="D126" s="2"/>
      </tp>
      <tp t="s">
        <v>#N/A N/A</v>
        <stp/>
        <stp>BDP|1148657448140251568</stp>
        <tr r="C36" s="2"/>
      </tp>
      <tp t="s">
        <v>#N/A Requesting Data...1542239205</v>
        <stp/>
        <stp>BDP|6753564350202078294</stp>
        <tr r="T121" s="2"/>
      </tp>
      <tp t="s">
        <v>#N/A Requesting Data...2627136752</v>
        <stp/>
        <stp>BDP|7060198309352850214</stp>
        <tr r="Q19" s="2"/>
      </tp>
      <tp t="s">
        <v>#N/A Requesting Data...3815791545</v>
        <stp/>
        <stp>BDP|2870436097958444110</stp>
        <tr r="O141" s="2"/>
      </tp>
      <tp t="s">
        <v>#N/A Requesting Data...3417066474</v>
        <stp/>
        <stp>BDP|7862331208797273589</stp>
        <tr r="J117" s="2"/>
      </tp>
      <tp t="s">
        <v>#N/A Requesting Data...2273644861</v>
        <stp/>
        <stp>BDP|6701687195089347602</stp>
        <tr r="K75" s="2"/>
      </tp>
      <tp t="s">
        <v>#N/A N/A</v>
        <stp/>
        <stp>BDP|7108612088376537940</stp>
        <tr r="I68" s="2"/>
      </tp>
      <tp t="s">
        <v>#N/A Requesting Data...3911231951</v>
        <stp/>
        <stp>BDP|2766176483825407895</stp>
        <tr r="O39" s="2"/>
      </tp>
      <tp t="s">
        <v>#N/A Requesting Data...924155846</v>
        <stp/>
        <stp>BDP|5841647243543671271</stp>
        <tr r="N153" s="2"/>
      </tp>
      <tp t="s">
        <v>#N/A N/A</v>
        <stp/>
        <stp>BDP|1550726688399656177</stp>
        <tr r="F26" s="2"/>
      </tp>
      <tp t="s">
        <v>#N/A Requesting Data...1679754980</v>
        <stp/>
        <stp>BDP|6754274214181318295</stp>
        <tr r="Q6" s="2"/>
      </tp>
      <tp t="s">
        <v>#N/A Requesting Data...4174569399</v>
        <stp/>
        <stp>BDP|6011552926396859153</stp>
        <tr r="Y2" s="2"/>
      </tp>
      <tp t="s">
        <v>#N/A Requesting Data...3419714679</v>
        <stp/>
        <stp>BDP|5367002483702683996</stp>
        <tr r="P136" s="2"/>
      </tp>
      <tp t="s">
        <v>#N/A N/A</v>
        <stp/>
        <stp>BDP|2574563293608715080</stp>
        <tr r="C2" s="2"/>
      </tp>
      <tp t="s">
        <v>#N/A N/A</v>
        <stp/>
        <stp>BDP|6227050029595122700</stp>
        <tr r="F60" s="2"/>
      </tp>
      <tp t="s">
        <v>#N/A Requesting Data...2192397207</v>
        <stp/>
        <stp>BDP|9802195882742976452</stp>
        <tr r="O118" s="2"/>
      </tp>
      <tp t="s">
        <v>#N/A Requesting Data...2369696239</v>
        <stp/>
        <stp>BDP|4045544192288823628</stp>
        <tr r="P101" s="2"/>
      </tp>
      <tp t="s">
        <v>#N/A Requesting Data...1060419853</v>
        <stp/>
        <stp>BDP|6883053473525403265</stp>
        <tr r="Q54" s="2"/>
      </tp>
      <tp t="s">
        <v>#N/A N/A</v>
        <stp/>
        <stp>BDP|6911476409582961627</stp>
        <tr r="C111" s="2"/>
      </tp>
      <tp t="s">
        <v>#N/A Requesting Data...3890323111</v>
        <stp/>
        <stp>BDP|4098084070274748126</stp>
        <tr r="O129" s="2"/>
      </tp>
      <tp t="s">
        <v>#N/A Requesting Data...1216386078</v>
        <stp/>
        <stp>BDP|6224279258066020104</stp>
        <tr r="S45" s="2"/>
      </tp>
      <tp t="s">
        <v>#N/A Requesting Data...1924683342</v>
        <stp/>
        <stp>BDP|2314531279277526110</stp>
        <tr r="X83" s="2"/>
      </tp>
      <tp t="s">
        <v>#N/A Requesting Data...2274159691</v>
        <stp/>
        <stp>BDP|6221966485190918151</stp>
        <tr r="T146" s="2"/>
      </tp>
      <tp t="s">
        <v>#N/A Requesting Data...3317569671</v>
        <stp/>
        <stp>BDP|6863486732385879271</stp>
        <tr r="Q82" s="2"/>
      </tp>
      <tp t="s">
        <v>#N/A Requesting Data...3722917958</v>
        <stp/>
        <stp>BDP|9162503492264158705</stp>
        <tr r="T155" s="2"/>
      </tp>
      <tp t="s">
        <v>#N/A Requesting Data...3188506793</v>
        <stp/>
        <stp>BDP|5241687474930842256</stp>
        <tr r="P14" s="2"/>
      </tp>
      <tp t="s">
        <v>#N/A Requesting Data...3967378704</v>
        <stp/>
        <stp>BDP|2349953949029590096</stp>
        <tr r="G136" s="2"/>
      </tp>
      <tp t="s">
        <v>#N/A N/A</v>
        <stp/>
        <stp>BDP|4602484009745001348</stp>
        <tr r="F52" s="2"/>
      </tp>
      <tp t="s">
        <v>#N/A N/A</v>
        <stp/>
        <stp>BDP|8824632311921970802</stp>
        <tr r="C32" s="2"/>
      </tp>
      <tp t="s">
        <v>#N/A Requesting Data...1870809465</v>
        <stp/>
        <stp>BDP|9009008326459683436</stp>
        <tr r="X41" s="2"/>
      </tp>
      <tp t="s">
        <v>#N/A N/A</v>
        <stp/>
        <stp>BDP|8911488607028788225</stp>
        <tr r="C110" s="2"/>
      </tp>
      <tp t="s">
        <v>#N/A Requesting Data...3535185809</v>
        <stp/>
        <stp>BDP|9244973632341127468</stp>
        <tr r="X134" s="2"/>
      </tp>
      <tp t="s">
        <v>#N/A Requesting Data...1930243691</v>
        <stp/>
        <stp>BDP|4304303211257301710</stp>
        <tr r="O67" s="2"/>
      </tp>
      <tp t="s">
        <v>#N/A Requesting Data...3278479189</v>
        <stp/>
        <stp>BDP|2416449185970401817</stp>
        <tr r="O83" s="2"/>
      </tp>
      <tp t="s">
        <v>#N/A N/A</v>
        <stp/>
        <stp>BDP|7722333527749264909</stp>
        <tr r="B28" s="2"/>
      </tp>
      <tp t="s">
        <v>#N/A Requesting Data...1487667703</v>
        <stp/>
        <stp>BDP|2987822789087132320</stp>
        <tr r="X142" s="2"/>
      </tp>
      <tp t="s">
        <v>#N/A N/A</v>
        <stp/>
        <stp>BDP|4112476542434660638</stp>
        <tr r="F132" s="2"/>
      </tp>
      <tp t="s">
        <v>#N/A Requesting Data...1245620487</v>
        <stp/>
        <stp>BDP|4205876188407969558</stp>
        <tr r="G110" s="2"/>
      </tp>
      <tp t="s">
        <v>#N/A Requesting Data...2124173866</v>
        <stp/>
        <stp>BDP|2526646626825545536</stp>
        <tr r="Q114" s="2"/>
      </tp>
      <tp t="s">
        <v>#N/A N/A</v>
        <stp/>
        <stp>BDP|5312585039711419475</stp>
        <tr r="D57" s="2"/>
      </tp>
      <tp t="s">
        <v>#N/A Requesting Data...3430581126</v>
        <stp/>
        <stp>BDP|1752167938026909314</stp>
        <tr r="G84" s="2"/>
      </tp>
      <tp t="s">
        <v>#N/A Requesting Data...3113975020</v>
        <stp/>
        <stp>BDP|4775906496760874287</stp>
        <tr r="O163" s="2"/>
      </tp>
      <tp t="s">
        <v>#N/A Requesting Data...2877815044</v>
        <stp/>
        <stp>BDP|1311707516223051239</stp>
        <tr r="X9" s="2"/>
      </tp>
      <tp t="s">
        <v>#N/A Requesting Data...3292012134</v>
        <stp/>
        <stp>BDP|1734240852944475435</stp>
        <tr r="O105" s="2"/>
      </tp>
      <tp t="s">
        <v>#N/A Requesting Data...3099018036</v>
        <stp/>
        <stp>BDP|8152350380070487567</stp>
        <tr r="N66" s="2"/>
      </tp>
      <tp t="s">
        <v>#N/A Requesting Data...4283218576</v>
        <stp/>
        <stp>BDP|3021143936365566215</stp>
        <tr r="N60" s="2"/>
      </tp>
      <tp t="s">
        <v>#N/A N/A</v>
        <stp/>
        <stp>BDP|8079511291517501532</stp>
        <tr r="I97" s="2"/>
      </tp>
      <tp t="s">
        <v>#N/A N/A</v>
        <stp/>
        <stp>BDP|6405322066967621209</stp>
        <tr r="I5" s="2"/>
      </tp>
      <tp t="s">
        <v>#N/A N/A</v>
        <stp/>
        <stp>BDP|2742518142971055439</stp>
        <tr r="F39" s="2"/>
      </tp>
      <tp t="s">
        <v>#N/A Requesting Data...2955711724</v>
        <stp/>
        <stp>BDP|8914249781896380281</stp>
        <tr r="J7" s="2"/>
      </tp>
      <tp t="s">
        <v>#N/A Requesting Data...1545081768</v>
        <stp/>
        <stp>BDP|2521312920206238312</stp>
        <tr r="Q120" s="2"/>
      </tp>
      <tp t="s">
        <v>#N/A Requesting Data...2568015143</v>
        <stp/>
        <stp>BDP|3935261570232010285</stp>
        <tr r="Q5" s="2"/>
      </tp>
      <tp t="s">
        <v>#N/A N/A</v>
        <stp/>
        <stp>BDP|1738525511607617469</stp>
        <tr r="I18" s="2"/>
      </tp>
      <tp t="s">
        <v>#N/A Requesting Data...3367324899</v>
        <stp/>
        <stp>BDP|1124611415655697571</stp>
        <tr r="T103" s="2"/>
      </tp>
      <tp t="s">
        <v>#N/A N/A</v>
        <stp/>
        <stp>BDP|4619911333781724976</stp>
        <tr r="I47" s="2"/>
      </tp>
      <tp t="s">
        <v>#N/A Requesting Data...2965054578</v>
        <stp/>
        <stp>BDP|5575169473572044750</stp>
        <tr r="T32" s="2"/>
      </tp>
      <tp t="s">
        <v>#N/A N/A</v>
        <stp/>
        <stp>BDP|6713676578484535580</stp>
        <tr r="C144" s="2"/>
      </tp>
      <tp t="s">
        <v>#N/A Requesting Data...2042274385</v>
        <stp/>
        <stp>BDP|3951587589679991148</stp>
        <tr r="Y99" s="2"/>
      </tp>
      <tp t="s">
        <v>#N/A Requesting Data...883773900</v>
        <stp/>
        <stp>BDP|5024021048107700086</stp>
        <tr r="Y91" s="2"/>
      </tp>
      <tp t="s">
        <v>#N/A Requesting Data...2022469556</v>
        <stp/>
        <stp>BDP|4622725442536076731</stp>
        <tr r="O49" s="2"/>
      </tp>
      <tp t="s">
        <v>#N/A N/A</v>
        <stp/>
        <stp>BDP|8420614117610449930</stp>
        <tr r="D87" s="2"/>
      </tp>
      <tp t="s">
        <v>#N/A Requesting Data...3969644795</v>
        <stp/>
        <stp>BDP|5519415635124319073</stp>
        <tr r="T116" s="2"/>
      </tp>
      <tp t="s">
        <v>#N/A Requesting Data...3598809966</v>
        <stp/>
        <stp>BDP|4324744200662032725</stp>
        <tr r="N19" s="2"/>
      </tp>
      <tp t="s">
        <v>#N/A Requesting Data...1480257769</v>
        <stp/>
        <stp>BDP|1037393255603379358</stp>
        <tr r="N45" s="2"/>
      </tp>
      <tp t="s">
        <v>#N/A Requesting Data...1279882070</v>
        <stp/>
        <stp>BDP|8532118975341377886</stp>
        <tr r="Y149" s="2"/>
      </tp>
      <tp t="s">
        <v>#N/A N/A</v>
        <stp/>
        <stp>BDP|4365873382203953051</stp>
        <tr r="C90" s="2"/>
      </tp>
      <tp t="s">
        <v>#N/A Requesting Data...1453003321</v>
        <stp/>
        <stp>BDP|1166998577370682831</stp>
        <tr r="Y49" s="2"/>
      </tp>
      <tp t="s">
        <v>#N/A Requesting Data...3558152056</v>
        <stp/>
        <stp>BDP|6604534353137820656</stp>
        <tr r="K146" s="2"/>
      </tp>
      <tp t="s">
        <v>#N/A Requesting Data...2925669088</v>
        <stp/>
        <stp>BDP|9908881190029858624</stp>
        <tr r="N70" s="2"/>
      </tp>
      <tp t="s">
        <v>#N/A N/A</v>
        <stp/>
        <stp>BDP|9562646300488855022</stp>
        <tr r="F7" s="2"/>
      </tp>
      <tp t="s">
        <v>#N/A Requesting Data...4026401980</v>
        <stp/>
        <stp>BDP|5379432983246084889</stp>
        <tr r="P92" s="2"/>
      </tp>
      <tp t="s">
        <v>#N/A Requesting Data...4066378690</v>
        <stp/>
        <stp>BDP|9966272710704564935</stp>
        <tr r="O93" s="2"/>
      </tp>
      <tp t="s">
        <v>#N/A Requesting Data...1070858238</v>
        <stp/>
        <stp>BDP|7628985198952840269</stp>
        <tr r="P156" s="2"/>
      </tp>
      <tp t="s">
        <v>#N/A Requesting Data...4050626262</v>
        <stp/>
        <stp>BDP|8515321988381587529</stp>
        <tr r="K23" s="2"/>
      </tp>
      <tp t="s">
        <v>#N/A N/A</v>
        <stp/>
        <stp>BDP|1691306639581069779</stp>
        <tr r="D53" s="2"/>
      </tp>
      <tp t="s">
        <v>#N/A Requesting Data...3498323329</v>
        <stp/>
        <stp>BDP|3502301679472011242</stp>
        <tr r="J49" s="2"/>
      </tp>
      <tp t="s">
        <v>#N/A Requesting Data...2988808202</v>
        <stp/>
        <stp>BDP|3519346578957635763</stp>
        <tr r="X39" s="2"/>
      </tp>
      <tp t="s">
        <v>#N/A Requesting Data...2526973148</v>
        <stp/>
        <stp>BDP|2440597604633411341</stp>
        <tr r="Q119" s="2"/>
      </tp>
      <tp t="s">
        <v>#N/A Requesting Data...2617061272</v>
        <stp/>
        <stp>BDP|7360184512241058102</stp>
        <tr r="G39" s="2"/>
      </tp>
      <tp t="s">
        <v>#N/A N/A</v>
        <stp/>
        <stp>BDP|7685627488147640942</stp>
        <tr r="I140" s="2"/>
      </tp>
      <tp t="s">
        <v>#N/A Requesting Data...2918849393</v>
        <stp/>
        <stp>BDP|5685648832901920679</stp>
        <tr r="S73" s="2"/>
      </tp>
      <tp t="s">
        <v>#N/A N/A</v>
        <stp/>
        <stp>BDP|1244370877385873744</stp>
        <tr r="B34" s="2"/>
      </tp>
      <tp t="s">
        <v>#N/A Requesting Data...3322420912</v>
        <stp/>
        <stp>BDP|4976074943807780047</stp>
        <tr r="N86" s="2"/>
      </tp>
      <tp t="s">
        <v>#N/A N/A</v>
        <stp/>
        <stp>BDP|2612750234284863512</stp>
        <tr r="B85" s="2"/>
      </tp>
      <tp t="s">
        <v>#N/A Requesting Data...3187897867</v>
        <stp/>
        <stp>BDP|8708884031130100413</stp>
        <tr r="T74" s="2"/>
      </tp>
      <tp t="s">
        <v>#N/A N/A</v>
        <stp/>
        <stp>BDP|3859099072360443382</stp>
        <tr r="B79" s="2"/>
      </tp>
      <tp t="s">
        <v>#N/A Requesting Data...1148072649</v>
        <stp/>
        <stp>BDP|1613404506013698191</stp>
        <tr r="Q51" s="2"/>
      </tp>
      <tp t="s">
        <v>#N/A Requesting Data...1759445154</v>
        <stp/>
        <stp>BDP|2456818937607829955</stp>
        <tr r="O38" s="2"/>
      </tp>
      <tp t="s">
        <v>#N/A Requesting Data...2284015219</v>
        <stp/>
        <stp>BDP|5801726885704942999</stp>
        <tr r="K64" s="2"/>
      </tp>
      <tp t="s">
        <v>#N/A N/A</v>
        <stp/>
        <stp>BDP|4109153856206484199</stp>
        <tr r="F82" s="2"/>
      </tp>
      <tp t="s">
        <v>#N/A N/A</v>
        <stp/>
        <stp>BDP|5427293902196597668</stp>
        <tr r="B91" s="2"/>
      </tp>
      <tp t="s">
        <v>#N/A Requesting Data...3921371872</v>
        <stp/>
        <stp>BDP|2900172200040391419</stp>
        <tr r="K122" s="2"/>
      </tp>
      <tp t="s">
        <v>#N/A Requesting Data...1367612385</v>
        <stp/>
        <stp>BDP|2461445728004433704</stp>
        <tr r="Y100" s="2"/>
      </tp>
      <tp t="s">
        <v>#N/A N/A</v>
        <stp/>
        <stp>BDP|4671907398514023721</stp>
        <tr r="I163" s="2"/>
      </tp>
      <tp t="s">
        <v>#N/A N/A</v>
        <stp/>
        <stp>BDP|6834027403741115044</stp>
        <tr r="B75" s="2"/>
      </tp>
      <tp t="s">
        <v>#N/A Requesting Data...4090701714</v>
        <stp/>
        <stp>BDP|2464232174417822768</stp>
        <tr r="Y101" s="2"/>
      </tp>
      <tp t="s">
        <v>#N/A Requesting Data...986209166</v>
        <stp/>
        <stp>BDP|4558369421565672794</stp>
        <tr r="S85" s="2"/>
      </tp>
      <tp t="s">
        <v>#N/A Requesting Data...1078204837</v>
        <stp/>
        <stp>BDP|1133589226967162635</stp>
        <tr r="O60" s="2"/>
      </tp>
      <tp t="s">
        <v>#N/A Requesting Data...3726306248</v>
        <stp/>
        <stp>BDP|3205583334213030132</stp>
        <tr r="Y64" s="2"/>
      </tp>
      <tp t="s">
        <v>#N/A N/A</v>
        <stp/>
        <stp>BDP|6893526719684998175</stp>
        <tr r="C87" s="2"/>
      </tp>
      <tp t="s">
        <v>#N/A Requesting Data...3668962270</v>
        <stp/>
        <stp>BDP|5902639531444161382</stp>
        <tr r="Q71" s="2"/>
      </tp>
      <tp t="s">
        <v>#N/A Requesting Data...3950645565</v>
        <stp/>
        <stp>BDP|6270738686906176849</stp>
        <tr r="O138" s="2"/>
      </tp>
      <tp t="s">
        <v>#N/A N/A</v>
        <stp/>
        <stp>BDP|4433776541736206629</stp>
        <tr r="I58" s="2"/>
      </tp>
      <tp t="s">
        <v>#N/A Requesting Data...1658108060</v>
        <stp/>
        <stp>BDP|6326781617775814261</stp>
        <tr r="O124" s="2"/>
      </tp>
      <tp t="s">
        <v>#N/A Requesting Data...1413666552</v>
        <stp/>
        <stp>BDP|1560159513201194703</stp>
        <tr r="S48" s="2"/>
      </tp>
      <tp t="s">
        <v>#N/A Requesting Data...3370692355</v>
        <stp/>
        <stp>BDP|5114063321078090852</stp>
        <tr r="S28" s="2"/>
      </tp>
      <tp t="s">
        <v>#N/A N/A</v>
        <stp/>
        <stp>BDP|6680023657750430446</stp>
        <tr r="I143" s="2"/>
      </tp>
      <tp t="s">
        <v>#N/A Requesting Data...867028855</v>
        <stp/>
        <stp>BDP|9196511833589425146</stp>
        <tr r="T66" s="2"/>
      </tp>
      <tp t="s">
        <v>#N/A Requesting Data...3764400770</v>
        <stp/>
        <stp>BDP|4158309380561372911</stp>
        <tr r="Q4" s="2"/>
      </tp>
      <tp t="s">
        <v>#N/A N/A</v>
        <stp/>
        <stp>BDP|2904228339035405156</stp>
        <tr r="B152" s="2"/>
      </tp>
      <tp t="s">
        <v>#N/A Requesting Data...2329774118</v>
        <stp/>
        <stp>BDP|4603216928414564791</stp>
        <tr r="J137" s="2"/>
      </tp>
      <tp t="s">
        <v>#N/A Requesting Data...3695254934</v>
        <stp/>
        <stp>BDP|3368412853475749053</stp>
        <tr r="O33" s="2"/>
      </tp>
      <tp t="s">
        <v>#N/A N/A</v>
        <stp/>
        <stp>BDP|6244657244284655763</stp>
        <tr r="D95" s="2"/>
      </tp>
      <tp t="s">
        <v>#N/A Requesting Data...2245808718</v>
        <stp/>
        <stp>BDP|3843330377868840842</stp>
        <tr r="P57" s="2"/>
      </tp>
      <tp t="s">
        <v>#N/A Requesting Data...961245351</v>
        <stp/>
        <stp>BDP|9328522764959217472</stp>
        <tr r="S124" s="2"/>
      </tp>
      <tp t="s">
        <v>#N/A Requesting Data...3976370851</v>
        <stp/>
        <stp>BDP|1714473850416594155</stp>
        <tr r="T79" s="2"/>
      </tp>
      <tp t="s">
        <v>#N/A Requesting Data...3912917800</v>
        <stp/>
        <stp>BDP|3457956882823433678</stp>
        <tr r="S163" s="2"/>
      </tp>
      <tp t="s">
        <v>#N/A Requesting Data...1163322028</v>
        <stp/>
        <stp>BDP|2643740703574514643</stp>
        <tr r="G20" s="2"/>
      </tp>
      <tp t="s">
        <v>#N/A Requesting Data...2203559491</v>
        <stp/>
        <stp>BDP|2796808604654594971</stp>
        <tr r="Y42" s="2"/>
      </tp>
      <tp t="s">
        <v>#N/A Requesting Data...3550968420</v>
        <stp/>
        <stp>BDP|8739343487880547475</stp>
        <tr r="T21" s="2"/>
      </tp>
      <tp t="s">
        <v>#N/A N/A</v>
        <stp/>
        <stp>BDP|7866318255077876121</stp>
        <tr r="B92" s="2"/>
      </tp>
      <tp t="s">
        <v>#N/A N/A</v>
        <stp/>
        <stp>BDP|6433327819140981302</stp>
        <tr r="D78" s="2"/>
      </tp>
      <tp t="s">
        <v>#N/A N/A</v>
        <stp/>
        <stp>BDP|3898889308885610988</stp>
        <tr r="D67" s="2"/>
      </tp>
      <tp t="s">
        <v>#N/A Requesting Data...2407811838</v>
        <stp/>
        <stp>BDP|1478110789509375687</stp>
        <tr r="S113" s="2"/>
      </tp>
      <tp t="s">
        <v>#N/A Requesting Data...3235201102</v>
        <stp/>
        <stp>BDP|9822772490608873805</stp>
        <tr r="T75" s="2"/>
      </tp>
      <tp t="s">
        <v>#N/A Requesting Data...1202947229</v>
        <stp/>
        <stp>BDP|6017969161129625756</stp>
        <tr r="O55" s="2"/>
      </tp>
      <tp t="s">
        <v>#N/A Requesting Data...2474455551</v>
        <stp/>
        <stp>BDP|3950331665669839834</stp>
        <tr r="K121" s="2"/>
      </tp>
      <tp t="s">
        <v>#N/A Requesting Data...4198764679</v>
        <stp/>
        <stp>BDP|5404581640315936617</stp>
        <tr r="Y90" s="2"/>
      </tp>
      <tp t="s">
        <v>#N/A N/A</v>
        <stp/>
        <stp>BDP|1237505566136069316</stp>
        <tr r="B129" s="2"/>
      </tp>
      <tp t="s">
        <v>#N/A Requesting Data...3304848642</v>
        <stp/>
        <stp>BDP|9722709056249678528</stp>
        <tr r="O158" s="2"/>
      </tp>
      <tp t="s">
        <v>#N/A Requesting Data...2636032364</v>
        <stp/>
        <stp>BDP|4541529925001132297</stp>
        <tr r="Y57" s="2"/>
      </tp>
      <tp t="s">
        <v>#N/A N/A</v>
        <stp/>
        <stp>BDP|3788447064776932746</stp>
        <tr r="I63" s="2"/>
      </tp>
      <tp t="s">
        <v>#N/A Requesting Data...1404390713</v>
        <stp/>
        <stp>BDP|4612042975036995545</stp>
        <tr r="Y34" s="2"/>
      </tp>
      <tp t="s">
        <v>#N/A Requesting Data...1273877018</v>
        <stp/>
        <stp>BDP|6972507962296893398</stp>
        <tr r="N137" s="2"/>
      </tp>
      <tp t="s">
        <v>#N/A Requesting Data...2539798679</v>
        <stp/>
        <stp>BDP|6646093074718776963</stp>
        <tr r="Y6" s="2"/>
      </tp>
      <tp t="s">
        <v>#N/A N/A</v>
        <stp/>
        <stp>BDP|4704513403841757088</stp>
        <tr r="C14" s="2"/>
      </tp>
      <tp t="s">
        <v>#N/A Requesting Data...3467376222</v>
        <stp/>
        <stp>BDP|9945164615768999187</stp>
        <tr r="J102" s="2"/>
      </tp>
      <tp t="s">
        <v>#N/A Requesting Data...4293828786</v>
        <stp/>
        <stp>BDP|7427883091882665407</stp>
        <tr r="Q60" s="2"/>
      </tp>
      <tp t="s">
        <v>#N/A Requesting Data...4243520922</v>
        <stp/>
        <stp>BDP|2516562270853154395</stp>
        <tr r="O80" s="2"/>
      </tp>
      <tp t="s">
        <v>#N/A Requesting Data...1887510353</v>
        <stp/>
        <stp>BDP|1909151143543486701</stp>
        <tr r="T104" s="2"/>
      </tp>
      <tp t="s">
        <v>#N/A N/A</v>
        <stp/>
        <stp>BDP|3931611777253182154</stp>
        <tr r="I131" s="2"/>
      </tp>
      <tp t="s">
        <v>#N/A N/A</v>
        <stp/>
        <stp>BDP|6537749017948800853</stp>
        <tr r="C109" s="2"/>
      </tp>
      <tp t="s">
        <v>#N/A Requesting Data...2093460894</v>
        <stp/>
        <stp>BDP|5037902758599687058</stp>
        <tr r="Q110" s="2"/>
      </tp>
      <tp t="s">
        <v>#N/A N/A</v>
        <stp/>
        <stp>BDP|8133805600167369797</stp>
        <tr r="C91" s="2"/>
      </tp>
      <tp t="s">
        <v>#N/A Requesting Data...1581920718</v>
        <stp/>
        <stp>BDP|1140847511178498083</stp>
        <tr r="T108" s="2"/>
      </tp>
      <tp t="s">
        <v>#N/A Requesting Data...1287646798</v>
        <stp/>
        <stp>BDP|7033219049363848286</stp>
        <tr r="Y111" s="2"/>
      </tp>
      <tp t="s">
        <v>#N/A Requesting Data...3702986282</v>
        <stp/>
        <stp>BDP|4505229818760541720</stp>
        <tr r="O62" s="2"/>
      </tp>
      <tp t="s">
        <v>#N/A N/A</v>
        <stp/>
        <stp>BDP|3393781113736984393</stp>
        <tr r="D125" s="2"/>
      </tp>
      <tp t="s">
        <v>#N/A N/A</v>
        <stp/>
        <stp>BDP|2925194685282953947</stp>
        <tr r="C44" s="2"/>
      </tp>
      <tp t="s">
        <v>#N/A Requesting Data...986396448</v>
        <stp/>
        <stp>BDP|2131898960618565442</stp>
        <tr r="P124" s="2"/>
      </tp>
      <tp t="s">
        <v>#N/A Requesting Data...3783922704</v>
        <stp/>
        <stp>BDP|4436190047717694655</stp>
        <tr r="Q109" s="2"/>
      </tp>
      <tp t="s">
        <v>#N/A Requesting Data...1608635436</v>
        <stp/>
        <stp>BDP|2964765659533632398</stp>
        <tr r="O78" s="2"/>
      </tp>
      <tp t="s">
        <v>#N/A Requesting Data...3772835183</v>
        <stp/>
        <stp>BDP|8106839253035978012</stp>
        <tr r="K72" s="2"/>
      </tp>
      <tp t="s">
        <v>#N/A Requesting Data...3405768399</v>
        <stp/>
        <stp>BDP|6385119838083661756</stp>
        <tr r="G27" s="2"/>
      </tp>
      <tp t="s">
        <v>#N/A Requesting Data...3870541212</v>
        <stp/>
        <stp>BDP|1874570619190850572</stp>
        <tr r="Y107" s="2"/>
      </tp>
      <tp t="s">
        <v>#N/A N/A</v>
        <stp/>
        <stp>BDP|4014470110797858667</stp>
        <tr r="F110" s="2"/>
      </tp>
      <tp t="s">
        <v>#N/A Requesting Data...1826919273</v>
        <stp/>
        <stp>BDP|4993948645310922986</stp>
        <tr r="K94" s="2"/>
      </tp>
      <tp t="s">
        <v>#N/A N/A</v>
        <stp/>
        <stp>BDP|6294655723393493190</stp>
        <tr r="C139" s="2"/>
      </tp>
      <tp t="s">
        <v>#N/A Requesting Data...2209189365</v>
        <stp/>
        <stp>BDP|4265754926334836579</stp>
        <tr r="Y23" s="2"/>
      </tp>
      <tp t="s">
        <v>#N/A Requesting Data...2168129345</v>
        <stp/>
        <stp>BDP|8694399955397791930</stp>
        <tr r="N67" s="2"/>
      </tp>
      <tp t="s">
        <v>#N/A Requesting Data...3670261683</v>
        <stp/>
        <stp>BDP|2714544004203170481</stp>
        <tr r="X65" s="2"/>
      </tp>
      <tp t="s">
        <v>#N/A Requesting Data...1205536530</v>
        <stp/>
        <stp>BDP|4984127121862227565</stp>
        <tr r="Q91" s="2"/>
      </tp>
      <tp t="s">
        <v>#N/A N/A</v>
        <stp/>
        <stp>BDP|5294037775985275785</stp>
        <tr r="D93" s="2"/>
      </tp>
      <tp t="s">
        <v>#N/A Requesting Data...2947999954</v>
        <stp/>
        <stp>BDP|8870243144097239941</stp>
        <tr r="Q10" s="2"/>
      </tp>
      <tp t="s">
        <v>#N/A Requesting Data...2551752142</v>
        <stp/>
        <stp>BDP|1785485066095049661</stp>
        <tr r="S40" s="2"/>
      </tp>
      <tp t="s">
        <v>#N/A Requesting Data...2683164069</v>
        <stp/>
        <stp>BDP|6732479213947986453</stp>
        <tr r="G138" s="2"/>
      </tp>
      <tp t="s">
        <v>#N/A Requesting Data...1787928593</v>
        <stp/>
        <stp>BDP|4867140384529670415</stp>
        <tr r="S20" s="2"/>
      </tp>
      <tp t="s">
        <v>#N/A N/A</v>
        <stp/>
        <stp>BDP|6844011943840083255</stp>
        <tr r="I43" s="2"/>
      </tp>
      <tp t="s">
        <v>#N/A N/A</v>
        <stp/>
        <stp>BDP|1871892498539663901</stp>
        <tr r="B86" s="2"/>
      </tp>
      <tp t="s">
        <v>#N/A N/A</v>
        <stp/>
        <stp>BDP|1278218682353842856</stp>
        <tr r="B40" s="2"/>
      </tp>
      <tp t="s">
        <v>#N/A Requesting Data...2234682434</v>
        <stp/>
        <stp>BDP|4017398465945511451</stp>
        <tr r="T99" s="2"/>
      </tp>
      <tp t="s">
        <v>#N/A Requesting Data...1750233113</v>
        <stp/>
        <stp>BDP|2763809098884124726</stp>
        <tr r="K106" s="2"/>
      </tp>
      <tp t="s">
        <v>#N/A Requesting Data...3971841260</v>
        <stp/>
        <stp>BDP|5542796835812453318</stp>
        <tr r="G83" s="2"/>
      </tp>
      <tp t="s">
        <v>#N/A Requesting Data...1945910034</v>
        <stp/>
        <stp>BDP|9720293018888231292</stp>
        <tr r="K156" s="2"/>
      </tp>
      <tp t="s">
        <v>#N/A N/A</v>
        <stp/>
        <stp>BDP|6532657247275387194</stp>
        <tr r="B110" s="2"/>
      </tp>
      <tp t="s">
        <v>#N/A Requesting Data...1453296839</v>
        <stp/>
        <stp>BDP|7683996288564249285</stp>
        <tr r="T158" s="2"/>
      </tp>
      <tp t="s">
        <v>#N/A Requesting Data...3455359398</v>
        <stp/>
        <stp>BDP|3036558862435256587</stp>
        <tr r="P85" s="2"/>
      </tp>
      <tp t="s">
        <v>#N/A Requesting Data...2770679627</v>
        <stp/>
        <stp>BDP|4402634277013895653</stp>
        <tr r="S95" s="2"/>
      </tp>
      <tp t="s">
        <v>#N/A Requesting Data...3020358971</v>
        <stp/>
        <stp>BDP|9059994430364152754</stp>
        <tr r="Y154" s="2"/>
      </tp>
      <tp t="s">
        <v>#N/A Requesting Data...4162253838</v>
        <stp/>
        <stp>BDP|8625015835098926367</stp>
        <tr r="N23" s="2"/>
      </tp>
      <tp t="s">
        <v>#N/A Requesting Data...1266123869</v>
        <stp/>
        <stp>BDP|3394718046744054495</stp>
        <tr r="S14" s="2"/>
      </tp>
      <tp t="s">
        <v>#N/A Requesting Data...3528913270</v>
        <stp/>
        <stp>BDP|7597476334062032244</stp>
        <tr r="S33" s="2"/>
      </tp>
      <tp t="s">
        <v>#N/A Requesting Data...2817638631</v>
        <stp/>
        <stp>BDP|4111508999159204185</stp>
        <tr r="K15" s="2"/>
      </tp>
      <tp t="s">
        <v>#N/A Requesting Data...1678623523</v>
        <stp/>
        <stp>BDP|7055311277801724230</stp>
        <tr r="Q136" s="2"/>
      </tp>
      <tp t="s">
        <v>#N/A Requesting Data...1262338993</v>
        <stp/>
        <stp>BDP|7540344772506779562</stp>
        <tr r="X110" s="2"/>
      </tp>
      <tp t="s">
        <v>#N/A Requesting Data...3904163750</v>
        <stp/>
        <stp>BDP|2079741307397629277</stp>
        <tr r="G123" s="2"/>
      </tp>
      <tp t="s">
        <v>#N/A Requesting Data...1362447680</v>
        <stp/>
        <stp>BDP|1059369353865059276</stp>
        <tr r="X118" s="2"/>
      </tp>
      <tp t="s">
        <v>#N/A Requesting Data...3877258858</v>
        <stp/>
        <stp>BDP|8468675894127264072</stp>
        <tr r="S147" s="2"/>
      </tp>
      <tp t="s">
        <v>#N/A Requesting Data...2117631513</v>
        <stp/>
        <stp>BDP|1887374744825059389</stp>
        <tr r="N140" s="2"/>
      </tp>
      <tp t="s">
        <v>#N/A Requesting Data...2169198244</v>
        <stp/>
        <stp>BDP|1964465720991561694</stp>
        <tr r="Q118" s="2"/>
      </tp>
      <tp t="s">
        <v>#N/A N/A</v>
        <stp/>
        <stp>BDP|1732818993347139776</stp>
        <tr r="C149" s="2"/>
      </tp>
      <tp t="s">
        <v>#N/A Requesting Data...1353949554</v>
        <stp/>
        <stp>BDP|4345937254970295851</stp>
        <tr r="N154" s="2"/>
      </tp>
      <tp t="s">
        <v>#N/A N/A</v>
        <stp/>
        <stp>BDP|9400659303278296734</stp>
        <tr r="B2" s="2"/>
      </tp>
      <tp t="s">
        <v>#N/A N/A</v>
        <stp/>
        <stp>BDP|8586862341536000227</stp>
        <tr r="B162" s="2"/>
      </tp>
      <tp t="s">
        <v>#N/A N/A</v>
        <stp/>
        <stp>BDP|7248801954803626907</stp>
        <tr r="D47" s="2"/>
      </tp>
      <tp t="s">
        <v>#N/A Requesting Data...3198822589</v>
        <stp/>
        <stp>BDP|9403921807749488952</stp>
        <tr r="T93" s="2"/>
      </tp>
      <tp t="s">
        <v>#N/A Requesting Data...1177179410</v>
        <stp/>
        <stp>BDP|2209629424323322574</stp>
        <tr r="Q28" s="2"/>
      </tp>
      <tp t="s">
        <v>#N/A N/A</v>
        <stp/>
        <stp>BDP|7374749365105005321</stp>
        <tr r="D26" s="2"/>
      </tp>
      <tp t="s">
        <v>#N/A Requesting Data...2602417478</v>
        <stp/>
        <stp>BDP|2590901163899238442</stp>
        <tr r="Y106" s="2"/>
      </tp>
      <tp t="s">
        <v>#N/A N/A</v>
        <stp/>
        <stp>BDP|6730157966715055447</stp>
        <tr r="F54" s="2"/>
      </tp>
      <tp t="s">
        <v>#N/A Requesting Data...3212555217</v>
        <stp/>
        <stp>BDP|4728890808725130976</stp>
        <tr r="N84" s="2"/>
      </tp>
      <tp t="s">
        <v>#N/A Requesting Data...4164614531</v>
        <stp/>
        <stp>BDP|9162861230317267550</stp>
        <tr r="P163" s="2"/>
      </tp>
      <tp t="s">
        <v>#N/A Requesting Data...3217451456</v>
        <stp/>
        <stp>BDP|7557427606076637569</stp>
        <tr r="N135" s="2"/>
      </tp>
      <tp t="s">
        <v>#N/A N/A</v>
        <stp/>
        <stp>BDP|4545135859019777998</stp>
        <tr r="F27" s="2"/>
      </tp>
      <tp t="s">
        <v>#N/A Requesting Data...4141202658</v>
        <stp/>
        <stp>BDP|3850593263110021035</stp>
        <tr r="N21" s="2"/>
      </tp>
      <tp t="s">
        <v>#N/A Requesting Data...1091562134</v>
        <stp/>
        <stp>BDP|7223315170351295208</stp>
        <tr r="S109" s="2"/>
      </tp>
      <tp t="s">
        <v>#N/A Requesting Data...3984509802</v>
        <stp/>
        <stp>BDP|4284307872525163508</stp>
        <tr r="T139" s="2"/>
      </tp>
      <tp t="s">
        <v>#N/A N/A</v>
        <stp/>
        <stp>BDP|6643779286499140079</stp>
        <tr r="F5" s="2"/>
      </tp>
      <tp t="s">
        <v>#N/A N/A</v>
        <stp/>
        <stp>BDP|9762152145499441520</stp>
        <tr r="B4" s="2"/>
      </tp>
      <tp t="s">
        <v>#N/A Requesting Data...2777755130</v>
        <stp/>
        <stp>BDP|1827512767804935612</stp>
        <tr r="G132" s="2"/>
      </tp>
      <tp t="s">
        <v>#N/A Requesting Data...4169126585</v>
        <stp/>
        <stp>BDP|8119511603549257478</stp>
        <tr r="P30" s="2"/>
      </tp>
      <tp t="s">
        <v>#N/A N/A</v>
        <stp/>
        <stp>BDP|6982010069059013976</stp>
        <tr r="D32" s="2"/>
      </tp>
      <tp t="s">
        <v>#N/A Requesting Data...1871587551</v>
        <stp/>
        <stp>BDP|7729524528319242990</stp>
        <tr r="X147" s="2"/>
      </tp>
      <tp t="s">
        <v>#N/A N/A</v>
        <stp/>
        <stp>BDP|7203096628697605236</stp>
        <tr r="F117" s="2"/>
      </tp>
      <tp t="s">
        <v>#N/A N/A</v>
        <stp/>
        <stp>BDP|6069800892477713028</stp>
        <tr r="F98" s="2"/>
      </tp>
      <tp t="s">
        <v>#N/A Requesting Data...2767763742</v>
        <stp/>
        <stp>BDP|3992647739613350507</stp>
        <tr r="O74" s="2"/>
      </tp>
      <tp t="s">
        <v>#N/A Requesting Data...3846043289</v>
        <stp/>
        <stp>BDP|5282266660052367302</stp>
        <tr r="K4" s="2"/>
      </tp>
      <tp t="s">
        <v>#N/A N/A</v>
        <stp/>
        <stp>BDP|7817959221048891432</stp>
        <tr r="I41" s="2"/>
      </tp>
      <tp t="s">
        <v>#N/A Requesting Data...3597883721</v>
        <stp/>
        <stp>BDP|9724991411202047387</stp>
        <tr r="X42" s="2"/>
      </tp>
      <tp t="s">
        <v>#N/A Requesting Data...3439757359</v>
        <stp/>
        <stp>BDP|2195841490970025324</stp>
        <tr r="N40" s="2"/>
      </tp>
      <tp t="s">
        <v>#N/A Requesting Data...2107091678</v>
        <stp/>
        <stp>BDP|9198968257540565525</stp>
        <tr r="N56" s="2"/>
      </tp>
      <tp t="s">
        <v>#N/A Requesting Data...1609002601</v>
        <stp/>
        <stp>BDP|3149295444794923122</stp>
        <tr r="K81" s="2"/>
      </tp>
      <tp t="s">
        <v>#N/A Requesting Data...1079077457</v>
        <stp/>
        <stp>BDP|9079335968854907862</stp>
        <tr r="N144" s="2"/>
      </tp>
      <tp t="s">
        <v>#N/A Requesting Data...1123401276</v>
        <stp/>
        <stp>BDP|2707584500285378284</stp>
        <tr r="N125" s="2"/>
      </tp>
      <tp t="s">
        <v>#N/A Requesting Data...1279486811</v>
        <stp/>
        <stp>BDP|8984882572085359248</stp>
        <tr r="Y14" s="2"/>
      </tp>
      <tp t="s">
        <v>#N/A Requesting Data...4286069324</v>
        <stp/>
        <stp>BDP|8198384209682149946</stp>
        <tr r="J28" s="2"/>
      </tp>
      <tp t="s">
        <v>#N/A Requesting Data...2097981226</v>
        <stp/>
        <stp>BDP|3991525663043459391</stp>
        <tr r="O107" s="2"/>
      </tp>
      <tp t="s">
        <v>#N/A Requesting Data...2949077581</v>
        <stp/>
        <stp>BDP|8949858708386712661</stp>
        <tr r="G105" s="2"/>
      </tp>
      <tp t="s">
        <v>#N/A Requesting Data...1688795580</v>
        <stp/>
        <stp>BDP|8469484514959867453</stp>
        <tr r="P26" s="2"/>
      </tp>
      <tp t="s">
        <v>#N/A Requesting Data...2359878000</v>
        <stp/>
        <stp>BDP|4422763337172029200</stp>
        <tr r="G107" s="2"/>
      </tp>
      <tp t="s">
        <v>#N/A Requesting Data...2452156164</v>
        <stp/>
        <stp>BDP|2506313066077624017</stp>
        <tr r="G25" s="2"/>
      </tp>
      <tp t="s">
        <v>#N/A N/A</v>
        <stp/>
        <stp>BDP|1727369325572953375</stp>
        <tr r="D45" s="2"/>
      </tp>
      <tp t="s">
        <v>#N/A Requesting Data...3668517669</v>
        <stp/>
        <stp>BDP|2824861677639380508</stp>
        <tr r="T129" s="2"/>
      </tp>
      <tp t="s">
        <v>#N/A N/A</v>
        <stp/>
        <stp>BDP|5840668047952067435</stp>
        <tr r="I124" s="2"/>
      </tp>
      <tp t="s">
        <v>#N/A Requesting Data...1904221336</v>
        <stp/>
        <stp>BDP|7075461990423940844</stp>
        <tr r="Y153" s="2"/>
      </tp>
      <tp t="s">
        <v>#N/A Requesting Data...4082661990</v>
        <stp/>
        <stp>BDP|6564659872246900009</stp>
        <tr r="S81" s="2"/>
      </tp>
      <tp t="s">
        <v>#N/A N/A</v>
        <stp/>
        <stp>BDP|2219718609042735650</stp>
        <tr r="D133" s="2"/>
      </tp>
      <tp t="s">
        <v>#N/A N/A</v>
        <stp/>
        <stp>BDP|2832525194208526736</stp>
        <tr r="D158" s="2"/>
      </tp>
      <tp t="s">
        <v>#N/A Requesting Data...2911211575</v>
        <stp/>
        <stp>BDP|2264486900925292205</stp>
        <tr r="G68" s="2"/>
      </tp>
      <tp t="s">
        <v>#N/A Requesting Data...3407909681</v>
        <stp/>
        <stp>BDP|2838730767536689429</stp>
        <tr r="N57" s="2"/>
      </tp>
      <tp t="s">
        <v>#N/A Requesting Data...3069490644</v>
        <stp/>
        <stp>BDP|6840583641627062191</stp>
        <tr r="S60" s="2"/>
      </tp>
      <tp t="s">
        <v>#N/A Requesting Data...2545851917</v>
        <stp/>
        <stp>BDP|7199451818842708128</stp>
        <tr r="S154" s="2"/>
      </tp>
      <tp t="s">
        <v>#N/A N/A</v>
        <stp/>
        <stp>BDP|8560130819689524038</stp>
        <tr r="I144" s="2"/>
      </tp>
      <tp t="s">
        <v>#N/A Requesting Data...1272653685</v>
        <stp/>
        <stp>BDP|9210809736961426290</stp>
        <tr r="K88" s="2"/>
      </tp>
      <tp t="s">
        <v>#N/A Requesting Data...3277741597</v>
        <stp/>
        <stp>BDP|6641433476333993738</stp>
        <tr r="S159" s="2"/>
      </tp>
      <tp t="s">
        <v>#N/A Requesting Data...3773135171</v>
        <stp/>
        <stp>BDP|5582610849474613228</stp>
        <tr r="O111" s="2"/>
      </tp>
      <tp t="s">
        <v>#N/A Requesting Data...3077071950</v>
        <stp/>
        <stp>BDP|2024787943161073124</stp>
        <tr r="T101" s="2"/>
      </tp>
      <tp t="s">
        <v>#N/A N/A</v>
        <stp/>
        <stp>BDP|8175636212046077890</stp>
        <tr r="B140" s="2"/>
      </tp>
      <tp t="s">
        <v>#N/A Requesting Data...2340196277</v>
        <stp/>
        <stp>BDP|8117883104373704249</stp>
        <tr r="Y20" s="2"/>
      </tp>
      <tp t="s">
        <v>#N/A Requesting Data...3813988639</v>
        <stp/>
        <stp>BDP|5722780154296130040</stp>
        <tr r="K65" s="2"/>
      </tp>
      <tp t="s">
        <v>#N/A Requesting Data...1533223709</v>
        <stp/>
        <stp>BDP|9864810333403774030</stp>
        <tr r="S26" s="2"/>
      </tp>
      <tp t="s">
        <v>#N/A N/A</v>
        <stp/>
        <stp>BDP|6818239252173604304</stp>
        <tr r="C78" s="2"/>
      </tp>
      <tp t="s">
        <v>#N/A Requesting Data...2396250060</v>
        <stp/>
        <stp>BDP|5013039497228203595</stp>
        <tr r="G90" s="2"/>
      </tp>
      <tp t="s">
        <v>#N/A N/A</v>
        <stp/>
        <stp>BDP|1191785359185882774</stp>
        <tr r="C42" s="2"/>
      </tp>
      <tp t="s">
        <v>#N/A Requesting Data...2300862234</v>
        <stp/>
        <stp>BDP|5843003681999543538</stp>
        <tr r="N83" s="2"/>
      </tp>
      <tp t="s">
        <v>#N/A Requesting Data...1132165535</v>
        <stp/>
        <stp>BDP|2956724476573702052</stp>
        <tr r="P89" s="2"/>
      </tp>
      <tp t="s">
        <v>#N/A Requesting Data...3356685025</v>
        <stp/>
        <stp>BDP|4044584506115710566</stp>
        <tr r="X10" s="2"/>
      </tp>
      <tp t="s">
        <v>#N/A Requesting Data...1724609874</v>
        <stp/>
        <stp>BDP|5450388569961070099</stp>
        <tr r="Y77" s="2"/>
      </tp>
      <tp t="s">
        <v>#N/A Requesting Data...2516569380</v>
        <stp/>
        <stp>BDP|1777521008080725569</stp>
        <tr r="X130" s="2"/>
      </tp>
      <tp t="s">
        <v>#N/A Requesting Data...1419566366</v>
        <stp/>
        <stp>BDP|7461497614836454512</stp>
        <tr r="T58" s="2"/>
      </tp>
      <tp t="s">
        <v>#N/A Requesting Data...2907488736</v>
        <stp/>
        <stp>BDP|1468350611045504798</stp>
        <tr r="T161" s="2"/>
      </tp>
      <tp t="s">
        <v>#N/A Requesting Data...1288536011</v>
        <stp/>
        <stp>BDP|4916214063007627614</stp>
        <tr r="J87" s="2"/>
      </tp>
      <tp t="s">
        <v>#N/A Requesting Data...1858825037</v>
        <stp/>
        <stp>BDP|1994411461693598101</stp>
        <tr r="Q27" s="2"/>
      </tp>
      <tp t="s">
        <v>#N/A N/A</v>
        <stp/>
        <stp>BDP|2245006937865022580</stp>
        <tr r="I73" s="2"/>
      </tp>
      <tp t="s">
        <v>#N/A Requesting Data...4159951528</v>
        <stp/>
        <stp>BDP|4113397811800603726</stp>
        <tr r="Y44" s="2"/>
      </tp>
      <tp t="s">
        <v>#N/A N/A</v>
        <stp/>
        <stp>BDP|3890695713793883679</stp>
        <tr r="D71" s="2"/>
      </tp>
      <tp t="s">
        <v>#N/A N/A</v>
        <stp/>
        <stp>BDP|1634021117515790493</stp>
        <tr r="I101" s="2"/>
      </tp>
      <tp t="s">
        <v>#N/A N/A</v>
        <stp/>
        <stp>BDP|8416788080435977386</stp>
        <tr r="B116" s="2"/>
      </tp>
      <tp t="s">
        <v>#N/A Requesting Data...2066120703</v>
        <stp/>
        <stp>BDP|3139815908609181346</stp>
        <tr r="J115" s="2"/>
      </tp>
      <tp t="s">
        <v>#N/A N/A</v>
        <stp/>
        <stp>BDP|9382098356194492958</stp>
        <tr r="F70" s="2"/>
      </tp>
      <tp t="s">
        <v>#N/A Requesting Data...1070998877</v>
        <stp/>
        <stp>BDP|1646620984749896759</stp>
        <tr r="T61" s="2"/>
      </tp>
      <tp t="s">
        <v>#N/A Requesting Data...1652858915</v>
        <stp/>
        <stp>BDP|1822686438090402511</stp>
        <tr r="Q77" s="2"/>
      </tp>
      <tp t="s">
        <v>#N/A Requesting Data...1729534468</v>
        <stp/>
        <stp>BDP|9888614072430004994</stp>
        <tr r="P116" s="2"/>
      </tp>
      <tp t="s">
        <v>#N/A Requesting Data...4163357980</v>
        <stp/>
        <stp>BDP|8160236327970700907</stp>
        <tr r="O19" s="2"/>
      </tp>
      <tp t="s">
        <v>#N/A Requesting Data...3312707519</v>
        <stp/>
        <stp>BDP|8598466690035176106</stp>
        <tr r="T44" s="2"/>
      </tp>
      <tp t="s">
        <v>#N/A Requesting Data...2388023866</v>
        <stp/>
        <stp>BDP|1910422012122977725</stp>
        <tr r="S136" s="2"/>
      </tp>
      <tp t="s">
        <v>#N/A Requesting Data...3883468270</v>
        <stp/>
        <stp>BDP|1926084804179697901</stp>
        <tr r="Y97" s="2"/>
      </tp>
      <tp t="s">
        <v>#N/A Requesting Data...2510612810</v>
        <stp/>
        <stp>BDP|5843382223425861085</stp>
        <tr r="S87" s="2"/>
      </tp>
      <tp t="s">
        <v>#N/A Requesting Data...3566305406</v>
        <stp/>
        <stp>BDP|4203220952036697478</stp>
        <tr r="Y11" s="2"/>
      </tp>
      <tp t="s">
        <v>#N/A N/A</v>
        <stp/>
        <stp>BDP|4838127219814658169</stp>
        <tr r="F51" s="2"/>
      </tp>
      <tp t="s">
        <v>#N/A Requesting Data...3700281228</v>
        <stp/>
        <stp>BDP|7540155434526205254</stp>
        <tr r="N127" s="2"/>
      </tp>
      <tp t="s">
        <v>#N/A Requesting Data...2591537014</v>
        <stp/>
        <stp>BDP|6968642185171844831</stp>
        <tr r="S123" s="2"/>
      </tp>
      <tp t="s">
        <v>#N/A Requesting Data...2076645821</v>
        <stp/>
        <stp>BDP|6504707301145093579</stp>
        <tr r="Y138" s="2"/>
      </tp>
      <tp t="s">
        <v>#N/A Requesting Data...2088184080</v>
        <stp/>
        <stp>BDP|3261715016436640205</stp>
        <tr r="T16" s="2"/>
      </tp>
      <tp t="s">
        <v>#N/A N/A</v>
        <stp/>
        <stp>BDP|3554655821925291306</stp>
        <tr r="C69" s="2"/>
      </tp>
      <tp t="s">
        <v>#N/A N/A</v>
        <stp/>
        <stp>BDP|4703249314330631613</stp>
        <tr r="B21" s="2"/>
      </tp>
      <tp t="s">
        <v>#N/A Requesting Data...4100979046</v>
        <stp/>
        <stp>BDP|2386706169390397298</stp>
        <tr r="X40" s="2"/>
      </tp>
      <tp t="s">
        <v>#N/A Requesting Data...3059822952</v>
        <stp/>
        <stp>BDP|5416108374750178217</stp>
        <tr r="X129" s="2"/>
      </tp>
      <tp t="s">
        <v>#N/A Requesting Data...3340022240</v>
        <stp/>
        <stp>BDP|2808396702396592674</stp>
        <tr r="Q62" s="2"/>
      </tp>
      <tp t="s">
        <v>#N/A Requesting Data...1792848938</v>
        <stp/>
        <stp>BDP|6625226624937435052</stp>
        <tr r="K26" s="2"/>
      </tp>
      <tp t="s">
        <v>#N/A Requesting Data...4014633654</v>
        <stp/>
        <stp>BDP|2022699212153973733</stp>
        <tr r="K95" s="2"/>
      </tp>
      <tp t="s">
        <v>#N/A Requesting Data...2733032808</v>
        <stp/>
        <stp>BDP|7519238617416852386</stp>
        <tr r="N118" s="2"/>
      </tp>
      <tp t="s">
        <v>#N/A N/A</v>
        <stp/>
        <stp>BDP|8186947469412592483</stp>
        <tr r="I134" s="2"/>
      </tp>
      <tp t="s">
        <v>#N/A N/A</v>
        <stp/>
        <stp>BDP|2168110726587270756</stp>
        <tr r="B67" s="2"/>
      </tp>
      <tp t="s">
        <v>#N/A N/A</v>
        <stp/>
        <stp>BDP|1842955477257839932</stp>
        <tr r="D52" s="2"/>
      </tp>
      <tp t="s">
        <v>#N/A Requesting Data...2062784217</v>
        <stp/>
        <stp>BDP|8832213988567338430</stp>
        <tr r="Y4" s="2"/>
      </tp>
      <tp t="s">
        <v>#N/A Requesting Data...3309240250</v>
        <stp/>
        <stp>BDP|9499359472069572571</stp>
        <tr r="S74" s="2"/>
      </tp>
      <tp t="s">
        <v>#N/A Requesting Data...2380885527</v>
        <stp/>
        <stp>BDP|9189801591039611003</stp>
        <tr r="G119" s="2"/>
      </tp>
      <tp t="s">
        <v>#N/A Requesting Data...2740741235</v>
        <stp/>
        <stp>BDP|3147482905211237788</stp>
        <tr r="S50" s="2"/>
      </tp>
      <tp t="s">
        <v>#N/A Requesting Data...1549520523</v>
        <stp/>
        <stp>BDP|2319738421464620210</stp>
        <tr r="P21" s="2"/>
      </tp>
      <tp t="s">
        <v>#N/A N/A</v>
        <stp/>
        <stp>BDP|3310049522282146221</stp>
        <tr r="F152" s="2"/>
      </tp>
      <tp t="s">
        <v>#N/A N/A</v>
        <stp/>
        <stp>BDP|3328905853268140671</stp>
        <tr r="F36" s="2"/>
      </tp>
      <tp t="s">
        <v>#N/A N/A</v>
        <stp/>
        <stp>BDP|2581537666569132979</stp>
        <tr r="F138" s="2"/>
      </tp>
      <tp t="s">
        <v>#N/A N/A</v>
        <stp/>
        <stp>BDP|4046618243094387371</stp>
        <tr r="B141" s="2"/>
      </tp>
      <tp t="s">
        <v>#N/A N/A</v>
        <stp/>
        <stp>BDP|1009717797898538645</stp>
        <tr r="D16" s="2"/>
      </tp>
      <tp t="s">
        <v>#N/A Requesting Data...1279262652</v>
        <stp/>
        <stp>BDP|2664358208138833847</stp>
        <tr r="K24" s="2"/>
      </tp>
      <tp t="s">
        <v>#N/A Requesting Data...2995849312</v>
        <stp/>
        <stp>BDP|5531343940101026263</stp>
        <tr r="J90" s="2"/>
      </tp>
      <tp t="s">
        <v>#N/A Requesting Data...3121200256</v>
        <stp/>
        <stp>BDP|4882565015875658499</stp>
        <tr r="Q133" s="2"/>
      </tp>
      <tp t="s">
        <v>#N/A N/A</v>
        <stp/>
        <stp>BDP|7460238170121552267</stp>
        <tr r="B135" s="2"/>
      </tp>
      <tp t="s">
        <v>#N/A Requesting Data...1369805737</v>
        <stp/>
        <stp>BDP|6426664397091687967</stp>
        <tr r="X151" s="2"/>
      </tp>
      <tp t="s">
        <v>#N/A Requesting Data...2101716881</v>
        <stp/>
        <stp>BDP|9564794791891167796</stp>
        <tr r="O140" s="2"/>
      </tp>
      <tp t="s">
        <v>#N/A Requesting Data...1507657036</v>
        <stp/>
        <stp>BDP|1540601676823547235</stp>
        <tr r="S31" s="2"/>
      </tp>
      <tp t="s">
        <v>#N/A Requesting Data...2304403399</v>
        <stp/>
        <stp>BDP|8230524135738760779</stp>
        <tr r="P97" s="2"/>
      </tp>
      <tp t="s">
        <v>#N/A Requesting Data...1567637455</v>
        <stp/>
        <stp>BDP|1705728330841755576</stp>
        <tr r="Y81" s="2"/>
      </tp>
      <tp t="s">
        <v>#N/A Requesting Data...1943932289</v>
        <stp/>
        <stp>BDP|9074965359912361698</stp>
        <tr r="T117" s="2"/>
      </tp>
      <tp t="s">
        <v>#N/A Requesting Data...2480488269</v>
        <stp/>
        <stp>BDP|3322901342365861939</stp>
        <tr r="S36" s="2"/>
      </tp>
      <tp t="s">
        <v>#N/A Requesting Data...3533957461</v>
        <stp/>
        <stp>BDP|9285964508123155176</stp>
        <tr r="J151" s="2"/>
      </tp>
      <tp t="s">
        <v>#N/A N/A</v>
        <stp/>
        <stp>BDP|4403268468563470144</stp>
        <tr r="I45" s="2"/>
      </tp>
      <tp t="s">
        <v>#N/A Requesting Data...3457075664</v>
        <stp/>
        <stp>BDP|5957134953141090239</stp>
        <tr r="T68" s="2"/>
      </tp>
      <tp t="s">
        <v>#N/A N/A</v>
        <stp/>
        <stp>BDP|2215743312365719394</stp>
        <tr r="B131" s="2"/>
      </tp>
      <tp t="s">
        <v>#N/A Requesting Data...2651498905</v>
        <stp/>
        <stp>BDP|5071512754270657795</stp>
        <tr r="S161" s="2"/>
      </tp>
      <tp t="s">
        <v>#N/A Requesting Data...3367977620</v>
        <stp/>
        <stp>BDP|7310294932702260616</stp>
        <tr r="T87" s="2"/>
      </tp>
      <tp t="s">
        <v>#N/A Requesting Data...3376947604</v>
        <stp/>
        <stp>BDP|5672496377061771579</stp>
        <tr r="S130" s="2"/>
      </tp>
      <tp t="s">
        <v>#N/A Requesting Data...4099968526</v>
        <stp/>
        <stp>BDP|6560422857363832605</stp>
        <tr r="Y84" s="2"/>
      </tp>
      <tp t="s">
        <v>#N/A Requesting Data...1252377914</v>
        <stp/>
        <stp>BDP|1564659898339734567</stp>
        <tr r="Q8" s="2"/>
      </tp>
      <tp t="s">
        <v>#N/A Requesting Data...3757440755</v>
        <stp/>
        <stp>BDP|2114926226483963859</stp>
        <tr r="S110" s="2"/>
      </tp>
      <tp t="s">
        <v>#N/A Requesting Data...1375025454</v>
        <stp/>
        <stp>BDP|8742442273388843115</stp>
        <tr r="T145" s="2"/>
      </tp>
      <tp t="s">
        <v>#N/A Requesting Data...2862295310</v>
        <stp/>
        <stp>BDP|3900814246178759578</stp>
        <tr r="Q139" s="2"/>
      </tp>
      <tp t="s">
        <v>#N/A N/A</v>
        <stp/>
        <stp>BDP|9005430541992823947</stp>
        <tr r="D111" s="2"/>
      </tp>
      <tp t="s">
        <v>#N/A N/A</v>
        <stp/>
        <stp>BDP|6968046410874303106</stp>
        <tr r="D163" s="2"/>
      </tp>
      <tp t="s">
        <v>#N/A Requesting Data...3786883075</v>
        <stp/>
        <stp>BDP|2603464348677775716</stp>
        <tr r="T88" s="2"/>
      </tp>
      <tp t="s">
        <v>#N/A N/A</v>
        <stp/>
        <stp>BDP|3014176144400554481</stp>
        <tr r="F85" s="2"/>
      </tp>
      <tp t="s">
        <v>#N/A Requesting Data...3954359667</v>
        <stp/>
        <stp>BDP|8838231597551138027</stp>
        <tr r="O14" s="2"/>
      </tp>
      <tp t="s">
        <v>#N/A Requesting Data...2520149912</v>
        <stp/>
        <stp>BDP|8306817349054129250</stp>
        <tr r="J153" s="2"/>
      </tp>
      <tp t="s">
        <v>#N/A Requesting Data...3916574547</v>
        <stp/>
        <stp>BDP|2924447753889884893</stp>
        <tr r="T163" s="2"/>
      </tp>
      <tp t="s">
        <v>#N/A N/A</v>
        <stp/>
        <stp>BDP|3065346628719316933</stp>
        <tr r="I142" s="2"/>
      </tp>
      <tp t="s">
        <v>#N/A Requesting Data...4026917891</v>
        <stp/>
        <stp>BDP|4274178410090076682</stp>
        <tr r="N110" s="2"/>
      </tp>
      <tp t="s">
        <v>#N/A Requesting Data...3389775995</v>
        <stp/>
        <stp>BDP|8003615933568629792</stp>
        <tr r="P82" s="2"/>
      </tp>
      <tp t="s">
        <v>#N/A N/A</v>
        <stp/>
        <stp>BDP|1721897554787430933</stp>
        <tr r="F89" s="2"/>
      </tp>
      <tp t="s">
        <v>#N/A Requesting Data...1534318908</v>
        <stp/>
        <stp>BDP|1250156890659291288</stp>
        <tr r="J132" s="2"/>
      </tp>
      <tp t="s">
        <v>#N/A Requesting Data...3389333723</v>
        <stp/>
        <stp>BDP|8895809287379484393</stp>
        <tr r="X100" s="2"/>
      </tp>
      <tp t="s">
        <v>#N/A N/A</v>
        <stp/>
        <stp>BDP|8339245504459086110</stp>
        <tr r="D86" s="2"/>
      </tp>
      <tp t="s">
        <v>#N/A Requesting Data...2569877684</v>
        <stp/>
        <stp>BDP|5869203589865378807</stp>
        <tr r="Y95" s="2"/>
      </tp>
      <tp t="s">
        <v>#N/A Requesting Data...4285011804</v>
        <stp/>
        <stp>BDP|3125651193646149846</stp>
        <tr r="Q13" s="2"/>
      </tp>
      <tp t="s">
        <v>#N/A Requesting Data...1888493729</v>
        <stp/>
        <stp>BDP|3394775976188621969</stp>
        <tr r="K100" s="2"/>
      </tp>
      <tp t="s">
        <v>#N/A Requesting Data...2493102128</v>
        <stp/>
        <stp>BDP|6748663220155467569</stp>
        <tr r="N131" s="2"/>
      </tp>
      <tp t="s">
        <v>#N/A Requesting Data...2210717735</v>
        <stp/>
        <stp>BDP|1422548142177649577</stp>
        <tr r="X13" s="2"/>
      </tp>
      <tp t="s">
        <v>#N/A Requesting Data...2147469170</v>
        <stp/>
        <stp>BDP|2696560254327766707</stp>
        <tr r="Y68" s="2"/>
      </tp>
      <tp t="s">
        <v>#N/A Requesting Data...2421324266</v>
        <stp/>
        <stp>BDP|5695118734635115012</stp>
        <tr r="Q66" s="2"/>
      </tp>
      <tp t="s">
        <v>#N/A Requesting Data...1556768996</v>
        <stp/>
        <stp>BDP|4604628728441726389</stp>
        <tr r="G69" s="2"/>
      </tp>
      <tp t="s">
        <v>#N/A Requesting Data...2730237292</v>
        <stp/>
        <stp>BDP|5769355232320581759</stp>
        <tr r="J140" s="2"/>
      </tp>
      <tp t="s">
        <v>#N/A Requesting Data...1217590108</v>
        <stp/>
        <stp>BDP|1391918404248604206</stp>
        <tr r="S102" s="2"/>
      </tp>
      <tp t="s">
        <v>#N/A N/A</v>
        <stp/>
        <stp>BDP|9390378639298932345</stp>
        <tr r="D142" s="2"/>
      </tp>
      <tp t="s">
        <v>#N/A N/A</v>
        <stp/>
        <stp>BDP|5560435423364117545</stp>
        <tr r="C66" s="2"/>
      </tp>
      <tp t="s">
        <v>#N/A Requesting Data...1688925424</v>
        <stp/>
        <stp>BDP|7374949958409776089</stp>
        <tr r="O36" s="2"/>
      </tp>
      <tp t="s">
        <v>#N/A Requesting Data...3137896346</v>
        <stp/>
        <stp>BDP|8177648331669276671</stp>
        <tr r="T18" s="2"/>
      </tp>
      <tp t="s">
        <v>#N/A Requesting Data...3822199321</v>
        <stp/>
        <stp>BDP|3636442611706592271</stp>
        <tr r="T57" s="2"/>
      </tp>
      <tp t="s">
        <v>#N/A Requesting Data...3230291672</v>
        <stp/>
        <stp>BDP|7481081344825935400</stp>
        <tr r="N24" s="2"/>
      </tp>
      <tp t="s">
        <v>#N/A N/A</v>
        <stp/>
        <stp>BDP|2820646253487864464</stp>
        <tr r="I139" s="2"/>
      </tp>
      <tp t="s">
        <v>#N/A Requesting Data...2938072328</v>
        <stp/>
        <stp>BDP|3593515061601519362</stp>
        <tr r="J37" s="2"/>
      </tp>
      <tp t="s">
        <v>#N/A Requesting Data...1438026944</v>
        <stp/>
        <stp>BDP|2893507428055739215</stp>
        <tr r="P109" s="2"/>
      </tp>
      <tp t="s">
        <v>#N/A Requesting Data...3121758437</v>
        <stp/>
        <stp>BDP|3181881288672102362</stp>
        <tr r="X119" s="2"/>
      </tp>
      <tp t="s">
        <v>#N/A Requesting Data...3115717701</v>
        <stp/>
        <stp>BDP|3221639657627067507</stp>
        <tr r="N73" s="2"/>
      </tp>
      <tp t="s">
        <v>#N/A N/A</v>
        <stp/>
        <stp>BDP|3243007749573511686</stp>
        <tr r="I151" s="2"/>
      </tp>
      <tp t="s">
        <v>#N/A Requesting Data...1645908232</v>
        <stp/>
        <stp>BDP|1246561163787151707</stp>
        <tr r="J10" s="2"/>
      </tp>
      <tp t="s">
        <v>#N/A Requesting Data...3854846165</v>
        <stp/>
        <stp>BDP|3293033302460227167</stp>
        <tr r="K77" s="2"/>
      </tp>
      <tp t="s">
        <v>#N/A N/A</v>
        <stp/>
        <stp>BDP|6219007227942262402</stp>
        <tr r="D120" s="2"/>
      </tp>
      <tp t="s">
        <v>#N/A N/A</v>
        <stp/>
        <stp>BDP|9313260853938764463</stp>
        <tr r="C57" s="2"/>
      </tp>
      <tp t="s">
        <v>#N/A N/A</v>
        <stp/>
        <stp>BDP|1664579852734333775</stp>
        <tr r="I119" s="2"/>
      </tp>
      <tp t="s">
        <v>#N/A Requesting Data...3292134211</v>
        <stp/>
        <stp>BDP|6679164172186781428</stp>
        <tr r="T91" s="2"/>
      </tp>
      <tp t="s">
        <v>#N/A N/A</v>
        <stp/>
        <stp>BDP|7313245564276717730</stp>
        <tr r="C131" s="2"/>
      </tp>
      <tp t="s">
        <v>#N/A Requesting Data...1419012876</v>
        <stp/>
        <stp>BDP|9376667868299820227</stp>
        <tr r="Q72" s="2"/>
      </tp>
      <tp t="s">
        <v>#N/A Requesting Data...1958354215</v>
        <stp/>
        <stp>BDP|1748637416095434117</stp>
        <tr r="P138" s="2"/>
      </tp>
      <tp t="s">
        <v>#N/A N/A</v>
        <stp/>
        <stp>BDP|8448115835389042171</stp>
        <tr r="B64" s="2"/>
      </tp>
      <tp t="s">
        <v>#N/A Requesting Data...3638974457</v>
        <stp/>
        <stp>BDP|4250134153474788615</stp>
        <tr r="Q68" s="2"/>
      </tp>
      <tp t="s">
        <v>#N/A Requesting Data...1608688227</v>
        <stp/>
        <stp>BDP|4073979050483586969</stp>
        <tr r="Q117" s="2"/>
      </tp>
      <tp t="s">
        <v>#N/A Requesting Data...1355273190</v>
        <stp/>
        <stp>BDP|8170914883348418333</stp>
        <tr r="O145" s="2"/>
      </tp>
      <tp t="s">
        <v>#N/A Requesting Data...2111484039</v>
        <stp/>
        <stp>BDP|8349628258168981147</stp>
        <tr r="O23" s="2"/>
      </tp>
      <tp t="s">
        <v>#N/A Requesting Data...3134772557</v>
        <stp/>
        <stp>BDP|1673005309857891437</stp>
        <tr r="X62" s="2"/>
      </tp>
      <tp t="s">
        <v>#N/A Requesting Data...3121069200</v>
        <stp/>
        <stp>BDP|7703869802505525829</stp>
        <tr r="N41" s="2"/>
      </tp>
      <tp t="s">
        <v>#N/A Requesting Data...1283833371</v>
        <stp/>
        <stp>BDP|7794490909442471366</stp>
        <tr r="Q14" s="2"/>
      </tp>
      <tp t="s">
        <v>#N/A Requesting Data...2674108578</v>
        <stp/>
        <stp>BDP|2720904635703340945</stp>
        <tr r="O146" s="2"/>
      </tp>
      <tp t="s">
        <v>#N/A Requesting Data...4200586186</v>
        <stp/>
        <stp>BDP|5787873366958586169</stp>
        <tr r="K143" s="2"/>
      </tp>
      <tp t="s">
        <v>#N/A Requesting Data...4085697776</v>
        <stp/>
        <stp>BDP|1783403883307398827</stp>
        <tr r="N10" s="2"/>
      </tp>
      <tp t="s">
        <v>#N/A N/A</v>
        <stp/>
        <stp>BDP|4175889044653539820</stp>
        <tr r="F13" s="2"/>
      </tp>
      <tp t="s">
        <v>#N/A Requesting Data...1199572593</v>
        <stp/>
        <stp>BDP|4892871180471553603</stp>
        <tr r="P147" s="2"/>
      </tp>
      <tp t="s">
        <v>#N/A Requesting Data...1609161284</v>
        <stp/>
        <stp>BDP|2922800380749699850</stp>
        <tr r="X154" s="2"/>
      </tp>
      <tp t="s">
        <v>#N/A Requesting Data...2771298359</v>
        <stp/>
        <stp>BDP|4075935809356871884</stp>
        <tr r="T123" s="2"/>
      </tp>
      <tp t="s">
        <v>#N/A Requesting Data...3931469853</v>
        <stp/>
        <stp>BDP|4076429269484988199</stp>
        <tr r="Y161" s="2"/>
      </tp>
      <tp t="s">
        <v>#N/A N/A</v>
        <stp/>
        <stp>BDP|6178887981990125526</stp>
        <tr r="D98" s="2"/>
      </tp>
      <tp t="s">
        <v>#N/A Requesting Data...3209756538</v>
        <stp/>
        <stp>BDP|7136659012264909745</stp>
        <tr r="J148" s="2"/>
      </tp>
      <tp t="s">
        <v>#N/A Requesting Data...1629513571</v>
        <stp/>
        <stp>BDP|8851491413949155787</stp>
        <tr r="S132" s="2"/>
      </tp>
      <tp t="s">
        <v>#N/A N/A</v>
        <stp/>
        <stp>BDP|7250508510464935404</stp>
        <tr r="D148" s="2"/>
      </tp>
      <tp t="s">
        <v>#N/A Requesting Data...1274304209</v>
        <stp/>
        <stp>BDP|4729299042371588025</stp>
        <tr r="O34" s="2"/>
      </tp>
      <tp t="s">
        <v>#N/A N/A</v>
        <stp/>
        <stp>BDP|3108792507074247363</stp>
        <tr r="I72" s="2"/>
      </tp>
      <tp t="s">
        <v>#N/A Requesting Data...2208516004</v>
        <stp/>
        <stp>BDP|3576490376213737062</stp>
        <tr r="P72" s="2"/>
      </tp>
      <tp t="s">
        <v>#N/A Requesting Data...2982369090</v>
        <stp/>
        <stp>BDP|3430601739172641700</stp>
        <tr r="X74" s="2"/>
      </tp>
      <tp t="s">
        <v>#N/A Requesting Data...1820840446</v>
        <stp/>
        <stp>BDP|1725042376995663089</stp>
        <tr r="J44" s="2"/>
      </tp>
      <tp t="s">
        <v>#N/A Requesting Data...1213099340</v>
        <stp/>
        <stp>BDP|6070063522683498487</stp>
        <tr r="Q88" s="2"/>
      </tp>
      <tp t="s">
        <v>#N/A Requesting Data...4160031175</v>
        <stp/>
        <stp>BDP|2119788749390970212</stp>
        <tr r="S93" s="2"/>
      </tp>
      <tp t="s">
        <v>#N/A Requesting Data...1472349715</v>
        <stp/>
        <stp>BDP|3959490836104825367</stp>
        <tr r="N6" s="2"/>
      </tp>
      <tp t="s">
        <v>#N/A Requesting Data...2057940454</v>
        <stp/>
        <stp>BDP|8900942969317571397</stp>
        <tr r="G17" s="2"/>
      </tp>
      <tp t="s">
        <v>#N/A Requesting Data...2420750152</v>
        <stp/>
        <stp>BDP|4990719111353534245</stp>
        <tr r="T23" s="2"/>
      </tp>
      <tp t="s">
        <v>#N/A Requesting Data...3917772295</v>
        <stp/>
        <stp>BDP|7842269310053075473</stp>
        <tr r="N44" s="2"/>
      </tp>
      <tp t="s">
        <v>#N/A N/A</v>
        <stp/>
        <stp>BDP|4726780959851844474</stp>
        <tr r="F118" s="2"/>
      </tp>
      <tp t="s">
        <v>#N/A N/A</v>
        <stp/>
        <stp>BDP|9687085063564459803</stp>
        <tr r="I80" s="2"/>
      </tp>
      <tp t="s">
        <v>#N/A Requesting Data...4080703939</v>
        <stp/>
        <stp>BDP|2295666850105838758</stp>
        <tr r="P4" s="2"/>
      </tp>
      <tp t="s">
        <v>#N/A Requesting Data...2915547240</v>
        <stp/>
        <stp>BDP|6256454619225720506</stp>
        <tr r="Y16" s="2"/>
      </tp>
      <tp t="s">
        <v>#N/A Requesting Data...1819214094</v>
        <stp/>
        <stp>BDP|2923188208295667511</stp>
        <tr r="Y121" s="2"/>
      </tp>
      <tp t="s">
        <v>#N/A N/A</v>
        <stp/>
        <stp>BDP|2356784261008197858</stp>
        <tr r="D123" s="2"/>
      </tp>
      <tp t="s">
        <v>#N/A Requesting Data...3059104797</v>
        <stp/>
        <stp>BDP|5708495615242712123</stp>
        <tr r="Q144" s="2"/>
      </tp>
      <tp t="s">
        <v>#N/A Requesting Data...3631755856</v>
        <stp/>
        <stp>BDP|2596319631590900122</stp>
        <tr r="Q156" s="2"/>
      </tp>
      <tp t="s">
        <v>#N/A N/A</v>
        <stp/>
        <stp>BDP|5622496780462644872</stp>
        <tr r="I39" s="2"/>
      </tp>
      <tp t="s">
        <v>#N/A Requesting Data...1287449006</v>
        <stp/>
        <stp>BDP|7767501871743194581</stp>
        <tr r="G34" s="2"/>
      </tp>
      <tp t="s">
        <v>#N/A Requesting Data...3400828428</v>
        <stp/>
        <stp>BDP|4973147842371805380</stp>
        <tr r="X155" s="2"/>
      </tp>
      <tp t="s">
        <v>#N/A N/A</v>
        <stp/>
        <stp>BDP|6980178470324209736</stp>
        <tr r="F155" s="2"/>
      </tp>
      <tp t="s">
        <v>#N/A Requesting Data...3498761707</v>
        <stp/>
        <stp>BDP|4627279914834276080</stp>
        <tr r="Q17" s="2"/>
      </tp>
      <tp t="s">
        <v>#N/A Requesting Data...3073203296</v>
        <stp/>
        <stp>BDP|4055372016080483597</stp>
        <tr r="P33" s="2"/>
      </tp>
      <tp t="s">
        <v>#N/A N/A</v>
        <stp/>
        <stp>BDP|7608388405272710506</stp>
        <tr r="B58" s="2"/>
      </tp>
      <tp t="s">
        <v>#N/A Requesting Data...3455470712</v>
        <stp/>
        <stp>BDP|7793358468821085065</stp>
        <tr r="P87" s="2"/>
      </tp>
      <tp t="s">
        <v>#N/A Requesting Data...3770935892</v>
        <stp/>
        <stp>BDP|2392296046801516651</stp>
        <tr r="G153" s="2"/>
      </tp>
      <tp t="s">
        <v>#N/A N/A</v>
        <stp/>
        <stp>BDP|6402905708214895889</stp>
        <tr r="F157" s="2"/>
      </tp>
      <tp t="s">
        <v>#N/A N/A</v>
        <stp/>
        <stp>BDP|3670563519497688326</stp>
        <tr r="B160" s="2"/>
      </tp>
      <tp t="s">
        <v>#N/A N/A</v>
        <stp/>
        <stp>BDP|2809487913135865167</stp>
        <tr r="B55" s="2"/>
      </tp>
      <tp t="s">
        <v>#N/A Requesting Data...1761277166</v>
        <stp/>
        <stp>BDP|7550360586377687813</stp>
        <tr r="N46" s="2"/>
      </tp>
      <tp t="s">
        <v>#N/A Requesting Data...2393884607</v>
        <stp/>
        <stp>BDP|6274775476384853198</stp>
        <tr r="Q163" s="2"/>
      </tp>
      <tp t="s">
        <v>#N/A Requesting Data...3494426369</v>
        <stp/>
        <stp>BDP|9520806862157037357</stp>
        <tr r="X162" s="2"/>
      </tp>
      <tp t="s">
        <v>#N/A Requesting Data...3387253421</v>
        <stp/>
        <stp>BDP|2309122102382463255</stp>
        <tr r="X105" s="2"/>
      </tp>
      <tp t="s">
        <v>#N/A Requesting Data...2257911017</v>
        <stp/>
        <stp>BDP|3770469269291387390</stp>
        <tr r="Y39" s="2"/>
      </tp>
      <tp t="s">
        <v>#N/A Requesting Data...1668092767</v>
        <stp/>
        <stp>BDP|6498940987154098055</stp>
        <tr r="P127" s="2"/>
      </tp>
      <tp t="s">
        <v>#N/A Requesting Data...3239063975</v>
        <stp/>
        <stp>BDP|7480222701222240467</stp>
        <tr r="O21" s="2"/>
      </tp>
      <tp t="s">
        <v>#N/A N/A</v>
        <stp/>
        <stp>BDP|7727718222619703800</stp>
        <tr r="C37" s="2"/>
      </tp>
      <tp t="s">
        <v>#N/A Requesting Data...1472676585</v>
        <stp/>
        <stp>BDP|3754021684561370913</stp>
        <tr r="S146" s="2"/>
      </tp>
      <tp t="s">
        <v>#N/A Requesting Data...4073151732</v>
        <stp/>
        <stp>BDP|6308763488862552882</stp>
        <tr r="X12" s="2"/>
      </tp>
      <tp t="s">
        <v>#N/A N/A</v>
        <stp/>
        <stp>BDP|9276331837432144877</stp>
        <tr r="B44" s="2"/>
      </tp>
      <tp t="s">
        <v>#N/A Requesting Data...2716693780</v>
        <stp/>
        <stp>BDP|1185348418664835450</stp>
        <tr r="O155" s="2"/>
      </tp>
      <tp t="s">
        <v>#N/A N/A</v>
        <stp/>
        <stp>BDP|5604603874564155336</stp>
        <tr r="I103" s="2"/>
      </tp>
      <tp t="s">
        <v>#N/A Requesting Data...2343291321</v>
        <stp/>
        <stp>BDP|4147579738919800860</stp>
        <tr r="G126" s="2"/>
      </tp>
      <tp t="s">
        <v>#N/A N/A</v>
        <stp/>
        <stp>BDP|7506665416317420413</stp>
        <tr r="C119" s="2"/>
      </tp>
      <tp t="s">
        <v>#N/A Requesting Data...1975750150</v>
        <stp/>
        <stp>BDP|6047847595631755578</stp>
        <tr r="G67" s="2"/>
      </tp>
      <tp t="s">
        <v>#N/A N/A</v>
        <stp/>
        <stp>BDP|2636547985654280841</stp>
        <tr r="D112" s="2"/>
      </tp>
      <tp t="s">
        <v>#N/A Requesting Data...1456171190</v>
        <stp/>
        <stp>BDP|3763125501146403718</stp>
        <tr r="S145" s="2"/>
      </tp>
      <tp t="s">
        <v>#N/A Requesting Data...2911077360</v>
        <stp/>
        <stp>BDP|8068527222865313925</stp>
        <tr r="K153" s="2"/>
      </tp>
      <tp t="s">
        <v>#N/A N/A</v>
        <stp/>
        <stp>BDP|7769689529142577229</stp>
        <tr r="B158" s="2"/>
      </tp>
      <tp t="s">
        <v>#N/A N/A</v>
        <stp/>
        <stp>BDP|5541548459295011398</stp>
        <tr r="F140" s="2"/>
      </tp>
      <tp t="s">
        <v>#N/A N/A</v>
        <stp/>
        <stp>BDP|1076741124663679470</stp>
        <tr r="I17" s="2"/>
      </tp>
      <tp t="s">
        <v>#N/A Requesting Data...1242247197</v>
        <stp/>
        <stp>BDP|3623023993021887893</stp>
        <tr r="S41" s="2"/>
      </tp>
      <tp t="s">
        <v>#N/A N/A</v>
        <stp/>
        <stp>BDP|8586855758071692789</stp>
        <tr r="C81" s="2"/>
      </tp>
      <tp t="s">
        <v>#N/A Requesting Data...1479365333</v>
        <stp/>
        <stp>BDP|4974176852995914635</stp>
        <tr r="J98" s="2"/>
      </tp>
      <tp t="s">
        <v>#N/A Requesting Data...3604256370</v>
        <stp/>
        <stp>BDP|1715513800943765472</stp>
        <tr r="O15" s="2"/>
      </tp>
      <tp t="s">
        <v>#N/A N/A</v>
        <stp/>
        <stp>BDP|4139559478666360395</stp>
        <tr r="B163" s="2"/>
      </tp>
      <tp t="s">
        <v>#N/A Requesting Data...1540789119</v>
        <stp/>
        <stp>BDP|1309796907621246495</stp>
        <tr r="J104" s="2"/>
      </tp>
      <tp t="s">
        <v>#N/A Requesting Data...3663414306</v>
        <stp/>
        <stp>BDP|4264256760663868090</stp>
        <tr r="G32" s="2"/>
      </tp>
      <tp t="s">
        <v>#N/A Requesting Data...3943876492</v>
        <stp/>
        <stp>BDP|9741390699380356020</stp>
        <tr r="X49" s="2"/>
      </tp>
      <tp t="s">
        <v>#N/A Requesting Data...3004539648</v>
        <stp/>
        <stp>BDP|6630561063773701522</stp>
        <tr r="T14" s="2"/>
      </tp>
      <tp t="s">
        <v>#N/A Requesting Data...2333621030</v>
        <stp/>
        <stp>BDP|9414208900439431177</stp>
        <tr r="X26" s="2"/>
      </tp>
      <tp t="s">
        <v>#N/A Requesting Data...4083001792</v>
        <stp/>
        <stp>BDP|2308760666880605020</stp>
        <tr r="N139" s="2"/>
      </tp>
      <tp t="s">
        <v>#N/A Requesting Data...3109763078</v>
        <stp/>
        <stp>BDP|1337137844697516069</stp>
        <tr r="N146" s="2"/>
      </tp>
      <tp t="s">
        <v>#N/A Requesting Data...2551227212</v>
        <stp/>
        <stp>BDP|2482918602171865988</stp>
        <tr r="G61" s="2"/>
      </tp>
      <tp t="s">
        <v>#N/A Requesting Data...1688264630</v>
        <stp/>
        <stp>BDP|7129166112263155733</stp>
        <tr r="J45" s="2"/>
      </tp>
      <tp t="s">
        <v>#N/A N/A</v>
        <stp/>
        <stp>BDP|6977197463782016045</stp>
        <tr r="I50" s="2"/>
      </tp>
      <tp t="s">
        <v>#N/A Requesting Data...4141528192</v>
        <stp/>
        <stp>BDP|1414405573123822283</stp>
        <tr r="Q53" s="2"/>
      </tp>
      <tp t="s">
        <v>#N/A Requesting Data...3536530921</v>
        <stp/>
        <stp>BDP|9412902030026463649</stp>
        <tr r="Y160" s="2"/>
      </tp>
      <tp t="s">
        <v>#N/A Requesting Data...2291836066</v>
        <stp/>
        <stp>BDP|4127667703214970590</stp>
        <tr r="O94" s="2"/>
      </tp>
      <tp t="s">
        <v>#N/A Requesting Data...2644382177</v>
        <stp/>
        <stp>BDP|6301776151280056712</stp>
        <tr r="T134" s="2"/>
      </tp>
      <tp t="s">
        <v>#N/A Requesting Data...2038021412</v>
        <stp/>
        <stp>BDP|5092551462674126129</stp>
        <tr r="O103" s="2"/>
      </tp>
      <tp t="s">
        <v>#N/A Requesting Data...1358888195</v>
        <stp/>
        <stp>BDP|5766320122620338706</stp>
        <tr r="Q63" s="2"/>
      </tp>
      <tp t="s">
        <v>#N/A N/A</v>
        <stp/>
        <stp>BDP|2337646120475690045</stp>
        <tr r="I107" s="2"/>
      </tp>
      <tp t="s">
        <v>#N/A N/A</v>
        <stp/>
        <stp>BDP|5313820348423985951</stp>
        <tr r="C40" s="2"/>
      </tp>
      <tp t="s">
        <v>#N/A Requesting Data...3538476835</v>
        <stp/>
        <stp>BDP|3529669408932680484</stp>
        <tr r="Y103" s="2"/>
      </tp>
      <tp t="s">
        <v>#N/A Requesting Data...2780871596</v>
        <stp/>
        <stp>BDP|1616823081527072501</stp>
        <tr r="Y5" s="2"/>
      </tp>
      <tp t="s">
        <v>#N/A Requesting Data...3070175785</v>
        <stp/>
        <stp>BDP|4243271523233117424</stp>
        <tr r="S6" s="2"/>
      </tp>
      <tp t="s">
        <v>#N/A Requesting Data...3367947393</v>
        <stp/>
        <stp>BDP|45441996103465592</stp>
        <tr r="O134" s="2"/>
      </tp>
      <tp t="s">
        <v>#N/A N/A</v>
        <stp/>
        <stp>BDP|77113819582762820</stp>
        <tr r="F47" s="2"/>
      </tp>
      <tp t="s">
        <v>#N/A Requesting Data...2727236261</v>
        <stp/>
        <stp>BDP|80743287300758394</stp>
        <tr r="N142" s="2"/>
      </tp>
      <tp t="s">
        <v>#N/A Requesting Data...1490726277</v>
        <stp/>
        <stp>BDP|52339422338736738</stp>
        <tr r="T64" s="2"/>
      </tp>
      <tp t="s">
        <v>#N/A N/A</v>
        <stp/>
        <stp>BDP|88795058068626907</stp>
        <tr r="C102" s="2"/>
      </tp>
      <tp t="s">
        <v>#N/A Requesting Data...4161247955</v>
        <stp/>
        <stp>BDP|64028338796165682</stp>
        <tr r="P51" s="2"/>
      </tp>
      <tp t="s">
        <v>#N/A Requesting Data...3962218673</v>
        <stp/>
        <stp>BDP|43096641710238750</stp>
        <tr r="Y55" s="2"/>
      </tp>
      <tp t="s">
        <v>#N/A Requesting Data...2832760994</v>
        <stp/>
        <stp>BDP|24553508056963719</stp>
        <tr r="Q126" s="2"/>
      </tp>
      <tp t="s">
        <v>#N/A Requesting Data...1317161078</v>
        <stp/>
        <stp>BDP|31587313277837421</stp>
        <tr r="K2" s="2"/>
      </tp>
      <tp t="s">
        <v>#N/A Requesting Data...2917903666</v>
        <stp/>
        <stp>BDP|902258629562843711</stp>
        <tr r="N115" s="2"/>
      </tp>
      <tp t="s">
        <v>#N/A Requesting Data...2159378534</v>
        <stp/>
        <stp>BDP|588654975080820430</stp>
        <tr r="T132" s="2"/>
      </tp>
      <tp t="s">
        <v>#N/A N/A</v>
        <stp/>
        <stp>BDP|954309373990374118</stp>
        <tr r="D83" s="2"/>
      </tp>
      <tp t="s">
        <v>#N/A Requesting Data...2912687365</v>
        <stp/>
        <stp>BDP|579471489280670950</stp>
        <tr r="X52" s="2"/>
      </tp>
      <tp t="s">
        <v>#N/A N/A</v>
        <stp/>
        <stp>BDP|402663352095162392</stp>
        <tr r="F161" s="2"/>
      </tp>
      <tp t="s">
        <v>#N/A Requesting Data...4124804169</v>
        <stp/>
        <stp>BDP|406578049734961081</stp>
        <tr r="G141" s="2"/>
      </tp>
      <tp t="s">
        <v>#N/A N/A</v>
        <stp/>
        <stp>BDP|615255044791825242</stp>
        <tr r="F66" s="2"/>
      </tp>
      <tp t="s">
        <v>#N/A Requesting Data...2676148167</v>
        <stp/>
        <stp>BDP|242630231505205579</stp>
        <tr r="G30" s="2"/>
      </tp>
      <tp t="s">
        <v>#N/A Requesting Data...1886185153</v>
        <stp/>
        <stp>BDP|699257282117442850</stp>
        <tr r="X97" s="2"/>
      </tp>
      <tp t="s">
        <v>#N/A Requesting Data...2850824806</v>
        <stp/>
        <stp>BDP|700904485856813283</stp>
        <tr r="T56" s="2"/>
      </tp>
      <tp t="s">
        <v>#N/A Requesting Data...2935849365</v>
        <stp/>
        <stp>BDP|349526142551205538</stp>
        <tr r="Q79" s="2"/>
      </tp>
      <tp t="s">
        <v>#N/A Requesting Data...1824329023</v>
        <stp/>
        <stp>BDP|996562234933653115</stp>
        <tr r="O132" s="2"/>
      </tp>
      <tp t="s">
        <v>#N/A Requesting Data...3484182589</v>
        <stp/>
        <stp>BDP|406366179060275051</stp>
        <tr r="G111" s="2"/>
      </tp>
      <tp t="s">
        <v>#N/A Requesting Data...1724758103</v>
        <stp/>
        <stp>BDP|472726905271641286</stp>
        <tr r="G155" s="2"/>
      </tp>
      <tp t="s">
        <v>#N/A Requesting Data...1309619284</v>
        <stp/>
        <stp>BDP|381431181800913879</stp>
        <tr r="O71" s="2"/>
      </tp>
      <tp t="s">
        <v>#N/A Requesting Data...2135262921</v>
        <stp/>
        <stp>BDP|458362060927926630</stp>
        <tr r="O109" s="2"/>
      </tp>
      <tp t="s">
        <v>#N/A Requesting Data...2395142685</v>
        <stp/>
        <stp>BDP|873050122215061363</stp>
        <tr r="X59" s="2"/>
      </tp>
      <tp t="s">
        <v>#N/A N/A</v>
        <stp/>
        <stp>BDP|882592003338352952</stp>
        <tr r="F9" s="2"/>
      </tp>
      <tp t="s">
        <v>#N/A Requesting Data...1658889091</v>
        <stp/>
        <stp>BDP|418413918242199389</stp>
        <tr r="X153" s="2"/>
      </tp>
      <tp t="s">
        <v>#N/A Requesting Data...3786495695</v>
        <stp/>
        <stp>BDP|409470005411219119</stp>
        <tr r="J118" s="2"/>
      </tp>
      <tp t="s">
        <v>#N/A N/A</v>
        <stp/>
        <stp>BDP|475355677686163619</stp>
        <tr r="C6" s="2"/>
      </tp>
      <tp t="s">
        <v>#N/A Requesting Data...4077084191</v>
        <stp/>
        <stp>BDP|438589138307381508</stp>
        <tr r="Q111" s="2"/>
      </tp>
      <tp t="s">
        <v>#N/A Requesting Data...1735820610</v>
        <stp/>
        <stp>BDP|849035149194513405</stp>
        <tr r="O18" s="2"/>
      </tp>
      <tp t="s">
        <v>#N/A N/A</v>
        <stp/>
        <stp>BDP|934780937117245746</stp>
        <tr r="I137" s="2"/>
      </tp>
      <tp t="s">
        <v>#N/A N/A</v>
        <stp/>
        <stp>BDP|752685563697522394</stp>
        <tr r="D18" s="2"/>
      </tp>
      <tp t="s">
        <v>#N/A Requesting Data...1337582256</v>
        <stp/>
        <stp>BDP|756848327017292942</stp>
        <tr r="Y88" s="2"/>
      </tp>
      <tp t="s">
        <v>#N/A Requesting Data...4015156342</v>
        <stp/>
        <stp>BDP|266295299345689980</stp>
        <tr r="X37" s="2"/>
      </tp>
      <tp t="s">
        <v>#N/A Requesting Data...1550850159</v>
        <stp/>
        <stp>BDP|648012677860896079</stp>
        <tr r="X102" s="2"/>
      </tp>
      <tp t="s">
        <v>#N/A Requesting Data...4127960846</v>
        <stp/>
        <stp>BDP|224025713311855742</stp>
        <tr r="K136" s="2"/>
      </tp>
      <tp t="s">
        <v>#N/A Requesting Data...3625209360</v>
        <stp/>
        <stp>BDP|408470075320625495</stp>
        <tr r="G5" s="2"/>
      </tp>
      <tp t="s">
        <v>#N/A Requesting Data...2264283914</v>
        <stp/>
        <stp>BDP|806071226747696257</stp>
        <tr r="Y137" s="2"/>
      </tp>
      <tp t="s">
        <v>#N/A Requesting Data...3894510652</v>
        <stp/>
        <stp>BDP|908490492213020903</stp>
        <tr r="T12" s="2"/>
      </tp>
      <tp t="s">
        <v>#N/A N/A</v>
        <stp/>
        <stp>BDP|541563011556354521</stp>
        <tr r="C140" s="2"/>
      </tp>
      <tp t="s">
        <v>#N/A N/A</v>
        <stp/>
        <stp>BDP|526451242381883730</stp>
        <tr r="F130" s="2"/>
      </tp>
      <tp t="s">
        <v>#N/A Requesting Data...2460011369</v>
        <stp/>
        <stp>BDP|938260060295645709</stp>
        <tr r="N82" s="2"/>
      </tp>
      <tp t="s">
        <v>#N/A Requesting Data...3949635960</v>
        <stp/>
        <stp>BDP|711119672247861768</stp>
        <tr r="G26" s="2"/>
      </tp>
      <tp t="s">
        <v>#N/A Requesting Data...2377788470</v>
        <stp/>
        <stp>BDP|653279526786994055</stp>
        <tr r="P145" s="2"/>
      </tp>
      <tp t="s">
        <v>#N/A Requesting Data...3587556157</v>
        <stp/>
        <stp>BDP|164780206242891330</stp>
        <tr r="S89" s="2"/>
      </tp>
      <tp t="s">
        <v>#N/A Requesting Data...1862503266</v>
        <stp/>
        <stp>BDP|293662302969035931</stp>
        <tr r="N47" s="2"/>
      </tp>
      <tp t="s">
        <v>#N/A Requesting Data...3095777552</v>
        <stp/>
        <stp>BDP|322683053155915041</stp>
        <tr r="Q121" s="2"/>
      </tp>
      <tp t="s">
        <v>#N/A Requesting Data...3118515149</v>
        <stp/>
        <stp>BDP|439168395387372927</stp>
        <tr r="K5" s="2"/>
      </tp>
      <tp t="s">
        <v>#N/A Requesting Data...4174054451</v>
        <stp/>
        <stp>BDP|138689248186740201</stp>
        <tr r="Y47" s="2"/>
      </tp>
      <tp t="s">
        <v>#N/A Requesting Data...3504173101</v>
        <stp/>
        <stp>BDP|957490501914796605</stp>
        <tr r="G103" s="2"/>
      </tp>
      <tp t="s">
        <v>#N/A N/A</v>
        <stp/>
        <stp>BDP|516159645466730556</stp>
        <tr r="D21" s="2"/>
      </tp>
      <tp t="s">
        <v>#N/A Requesting Data...2455249532</v>
        <stp/>
        <stp>BDP|246698422286870413</stp>
        <tr r="G116" s="2"/>
      </tp>
      <tp t="s">
        <v>#N/A N/A</v>
        <stp/>
        <stp>BDP|952367018176937526</stp>
        <tr r="I55" s="2"/>
      </tp>
      <tp t="s">
        <v>#N/A Requesting Data...2537186708</v>
        <stp/>
        <stp>BDP|546287757124325246</stp>
        <tr r="G161" s="2"/>
      </tp>
      <tp t="s">
        <v>#N/A Requesting Data...1834964943</v>
        <stp/>
        <stp>BDP|836769874515340408</stp>
        <tr r="Q43" s="2"/>
      </tp>
      <tp t="s">
        <v>#N/A Requesting Data...3121903011</v>
        <stp/>
        <stp>BDP|136452090954602862</stp>
        <tr r="P119" s="2"/>
      </tp>
      <tp t="s">
        <v>#N/A Requesting Data...1330148033</v>
        <stp/>
        <stp>BDP|310214501112399117</stp>
        <tr r="K83" s="2"/>
      </tp>
      <tp t="s">
        <v>#N/A Requesting Data...1432535248</v>
        <stp/>
        <stp>BDP|122991171576267981</stp>
        <tr r="K131" s="2"/>
      </tp>
      <tp t="s">
        <v>#N/A Requesting Data...3395671576</v>
        <stp/>
        <stp>BDP|442513443139385892</stp>
        <tr r="Y98" s="2"/>
      </tp>
      <tp t="s">
        <v>#N/A N/A</v>
        <stp/>
        <stp>BDP|951640150907128411</stp>
        <tr r="I155" s="2"/>
      </tp>
      <tp t="s">
        <v>#N/A N/A</v>
        <stp/>
        <stp>BDP|328474598195550841</stp>
        <tr r="I24" s="2"/>
      </tp>
      <tp t="s">
        <v>#N/A Requesting Data...2591975929</v>
        <stp/>
        <stp>BDP|801503754535725542</stp>
        <tr r="K82" s="2"/>
      </tp>
      <tp t="s">
        <v>#N/A Requesting Data...3899619890</v>
        <stp/>
        <stp>BDP|944060644365324113</stp>
        <tr r="S153" s="2"/>
      </tp>
      <tp t="s">
        <v>#N/A Requesting Data...2284454520</v>
        <stp/>
        <stp>BDP|821844076389463658</stp>
        <tr r="S98" s="2"/>
      </tp>
      <tp t="s">
        <v>#N/A Requesting Data...2085774232</v>
        <stp/>
        <stp>BDP|999597193878031406</stp>
        <tr r="J128" s="2"/>
      </tp>
      <tp t="s">
        <v>#N/A N/A</v>
        <stp/>
        <stp>BDP|359486732814425001</stp>
        <tr r="C16" s="2"/>
      </tp>
      <tp t="s">
        <v>#N/A Requesting Data...3413705970</v>
        <stp/>
        <stp>BDP|502990225611090910</stp>
        <tr r="G99" s="2"/>
      </tp>
      <tp t="s">
        <v>#N/A Requesting Data...3197309748</v>
        <stp/>
        <stp>BDP|215437331606985218</stp>
        <tr r="T83" s="2"/>
      </tp>
      <tp t="s">
        <v>#N/A Requesting Data...1833103180</v>
        <stp/>
        <stp>BDP|712099953110794621</stp>
        <tr r="J63" s="2"/>
      </tp>
      <tp t="s">
        <v>#N/A Requesting Data...3919454945</v>
        <stp/>
        <stp>BDP|276903459666193904</stp>
        <tr r="P13" s="2"/>
      </tp>
      <tp t="s">
        <v>#N/A Requesting Data...3990253211</v>
        <stp/>
        <stp>BDP|894314438905093678</stp>
        <tr r="S135" s="2"/>
      </tp>
      <tp t="s">
        <v>#N/A Requesting Data...2185243674</v>
        <stp/>
        <stp>BDP|742508385689228772</stp>
        <tr r="J6" s="2"/>
      </tp>
      <tp t="s">
        <v>#N/A N/A</v>
        <stp/>
        <stp>BDP|774052302077221455</stp>
        <tr r="D82" s="2"/>
      </tp>
      <tp t="s">
        <v>#N/A Requesting Data...2826221788</v>
        <stp/>
        <stp>BDP|584211333945529752</stp>
        <tr r="J30" s="2"/>
      </tp>
      <tp t="s">
        <v>#N/A Requesting Data...1990631330</v>
        <stp/>
        <stp>BDP|100282204789541897</stp>
        <tr r="T46" s="2"/>
      </tp>
      <tp t="s">
        <v>#N/A Requesting Data...3061282509</v>
        <stp/>
        <stp>BDP|953926431909013096</stp>
        <tr r="G58" s="2"/>
      </tp>
      <tp t="s">
        <v>#N/A Requesting Data...1417427738</v>
        <stp/>
        <stp>BDP|203581478609786981</stp>
        <tr r="T137" s="2"/>
      </tp>
      <tp t="s">
        <v>#N/A N/A</v>
        <stp/>
        <stp>BDP|441423908395192356</stp>
        <tr r="D25" s="2"/>
      </tp>
      <tp t="s">
        <v>#N/A N/A</v>
        <stp/>
        <stp>BDP|712485046005040732</stp>
        <tr r="F141" s="2"/>
      </tp>
      <tp t="s">
        <v>#N/A Requesting Data...3877274409</v>
        <stp/>
        <stp>BDP|570597158692847073</stp>
        <tr r="O100" s="2"/>
      </tp>
      <tp t="s">
        <v>#N/A N/A</v>
        <stp/>
        <stp>BDP|107524546616881592</stp>
        <tr r="D108" s="2"/>
      </tp>
      <tp t="s">
        <v>#N/A N/A</v>
        <stp/>
        <stp>BDP|388093541787769197</stp>
        <tr r="I98" s="2"/>
      </tp>
      <tp t="s">
        <v>#N/A N/A</v>
        <stp/>
        <stp>BDP|283622033727518062</stp>
        <tr r="C121" s="2"/>
      </tp>
      <tp t="s">
        <v>#N/A Requesting Data...4084618762</v>
        <stp/>
        <stp>BDP|820956220638840150</stp>
        <tr r="Y139" s="2"/>
      </tp>
      <tp t="s">
        <v>#N/A Requesting Data...3075595930</v>
        <stp/>
        <stp>BDP|533278654182052774</stp>
        <tr r="T131" s="2"/>
      </tp>
      <tp t="s">
        <v>#N/A Requesting Data...1410609413</v>
        <stp/>
        <stp>BDP|427341279073030583</stp>
        <tr r="T97" s="2"/>
      </tp>
      <tp t="s">
        <v>#N/A Requesting Data...2264685018</v>
        <stp/>
        <stp>BDP|387569658119133421</stp>
        <tr r="J106" s="2"/>
      </tp>
      <tp t="s">
        <v>#N/A Requesting Data...1983909797</v>
        <stp/>
        <stp>BDP|617546729693638936</stp>
        <tr r="X152" s="2"/>
      </tp>
      <tp t="s">
        <v>#N/A Requesting Data...2714345572</v>
        <stp/>
        <stp>BDP|648617666818696581</stp>
        <tr r="G89" s="2"/>
      </tp>
      <tp t="s">
        <v>#N/A Requesting Data...2158149294</v>
        <stp/>
        <stp>BDP|303000598327493360</stp>
        <tr r="P114" s="2"/>
      </tp>
      <tp t="s">
        <v>#N/A Requesting Data...3807456830</v>
        <stp/>
        <stp>BDP|978615747208327752</stp>
        <tr r="N100" s="2"/>
      </tp>
      <tp t="s">
        <v>#N/A N/A</v>
        <stp/>
        <stp>BDP|533915900210027405</stp>
        <tr r="C30" s="2"/>
      </tp>
      <tp t="s">
        <v>#N/A N/A</v>
        <stp/>
        <stp>BDP|142287319139174777</stp>
        <tr r="F133" s="2"/>
      </tp>
      <tp t="s">
        <v>#N/A Requesting Data...3171289769</v>
        <stp/>
        <stp>BDP|839849510777936329</stp>
        <tr r="X96" s="2"/>
      </tp>
      <tp t="s">
        <v>#N/A Requesting Data...2728922985</v>
        <stp/>
        <stp>BDP|392544988433624399</stp>
        <tr r="S150" s="2"/>
      </tp>
      <tp t="s">
        <v>#N/A Requesting Data...3996876401</v>
        <stp/>
        <stp>BDP|478937856377746673</stp>
        <tr r="P94" s="2"/>
      </tp>
      <tp t="s">
        <v>#N/A Requesting Data...1872445318</v>
        <stp/>
        <stp>BDP|966121878159005214</stp>
        <tr r="J25" s="2"/>
      </tp>
      <tp t="s">
        <v>#N/A Requesting Data...3392097047</v>
        <stp/>
        <stp>BDP|912086175212151876</stp>
        <tr r="Q83" s="2"/>
      </tp>
      <tp t="s">
        <v>#N/A N/A</v>
        <stp/>
        <stp>BDP|788398532295808867</stp>
        <tr r="C142" s="2"/>
      </tp>
      <tp t="s">
        <v>#N/A N/A</v>
        <stp/>
        <stp>BDP|491052291970921555</stp>
        <tr r="C114" s="2"/>
      </tp>
      <tp t="s">
        <v>#N/A Requesting Data...3877462007</v>
        <stp/>
        <stp>BDP|594425067548218683</stp>
        <tr r="T86" s="2"/>
      </tp>
      <tp t="s">
        <v>#N/A Requesting Data...3283856918</v>
        <stp/>
        <stp>BDP|678130388166162366</stp>
        <tr r="N34" s="2"/>
      </tp>
      <tp t="s">
        <v>#N/A N/A</v>
        <stp/>
        <stp>BDP|665686560145603933</stp>
        <tr r="F21" s="2"/>
      </tp>
      <tp t="s">
        <v>#N/A Requesting Data...2053116938</v>
        <stp/>
        <stp>BDP|154978072326319438</stp>
        <tr r="J85" s="2"/>
      </tp>
      <tp t="s">
        <v>#N/A Requesting Data...2605596125</v>
        <stp/>
        <stp>BDP|689969077974720626</stp>
        <tr r="K105" s="2"/>
      </tp>
      <tp t="s">
        <v>#N/A Requesting Data...3158762142</v>
        <stp/>
        <stp>BDP|440794395183033247</stp>
        <tr r="Q69" s="2"/>
      </tp>
      <tp t="s">
        <v>#N/A Requesting Data...3357268394</v>
        <stp/>
        <stp>BDP|507966640604873651</stp>
        <tr r="S131" s="2"/>
      </tp>
      <tp t="s">
        <v>#N/A Requesting Data...3618888775</v>
        <stp/>
        <stp>BDP|963465927540334940</stp>
        <tr r="S91" s="2"/>
      </tp>
      <tp t="s">
        <v>#N/A N/A</v>
        <stp/>
        <stp>BDP|994656695587916790</stp>
        <tr r="B59" s="2"/>
      </tp>
      <tp t="s">
        <v>#N/A Requesting Data...3564630142</v>
        <stp/>
        <stp>BDP|576038894672407467</stp>
        <tr r="G156" s="2"/>
      </tp>
      <tp t="s">
        <v>#N/A N/A</v>
        <stp/>
        <stp>BDP|648569389237164443</stp>
        <tr r="D12" s="2"/>
      </tp>
      <tp t="s">
        <v>#N/A N/A</v>
        <stp/>
        <stp>BDP|921081949113779928</stp>
        <tr r="D19" s="2"/>
      </tp>
      <tp t="s">
        <v>#N/A Requesting Data...2197302454</v>
        <stp/>
        <stp>BDP|836692950609654465</stp>
        <tr r="O28" s="2"/>
      </tp>
      <tp t="s">
        <v>#N/A N/A</v>
        <stp/>
        <stp>BDP|412864270048104909</stp>
        <tr r="I4" s="2"/>
      </tp>
      <tp t="s">
        <v>#N/A Requesting Data...2817575706</v>
        <stp/>
        <stp>BDP|843739323685612943</stp>
        <tr r="K161" s="2"/>
      </tp>
      <tp t="s">
        <v>#N/A N/A</v>
        <stp/>
        <stp>BDP|121691079931429918</stp>
        <tr r="I51" s="2"/>
      </tp>
      <tp t="s">
        <v>#N/A Requesting Data...2109315634</v>
        <stp/>
        <stp>BDP|105434791085639109</stp>
        <tr r="Y117" s="2"/>
      </tp>
      <tp t="s">
        <v>#N/A N/A</v>
        <stp/>
        <stp>BDP|356843317104910556</stp>
        <tr r="B146" s="2"/>
      </tp>
      <tp t="s">
        <v>#N/A Requesting Data...2577412075</v>
        <stp/>
        <stp>BDP|232540778928242248</stp>
        <tr r="X132" s="2"/>
      </tp>
      <tp t="s">
        <v>#N/A Requesting Data...3694150929</v>
        <stp/>
        <stp>BDP|130371697026368490</stp>
        <tr r="O16" s="2"/>
      </tp>
      <tp t="s">
        <v>#N/A Requesting Data...3317685925</v>
        <stp/>
        <stp>BDP|470556709125484895</stp>
        <tr r="N89" s="2"/>
      </tp>
      <tp t="s">
        <v>#N/A Requesting Data...1522600367</v>
        <stp/>
        <stp>BDP|647546869778776393</stp>
        <tr r="X99" s="2"/>
      </tp>
      <tp t="s">
        <v>#N/A Requesting Data...3894873855</v>
        <stp/>
        <stp>BDP|800200898423040067</stp>
        <tr r="K85" s="2"/>
      </tp>
      <tp t="s">
        <v>#N/A Requesting Data...4049956739</v>
        <stp/>
        <stp>BDP|963250369304417832</stp>
        <tr r="K114" s="2"/>
      </tp>
      <tp t="s">
        <v>#N/A Requesting Data...3328316064</v>
        <stp/>
        <stp>BDP|830493746118635026</stp>
        <tr r="N29" s="2"/>
      </tp>
      <tp t="s">
        <v>#N/A Requesting Data...1745265425</v>
        <stp/>
        <stp>BDP|955251633772735879</stp>
        <tr r="N109" s="2"/>
      </tp>
      <tp t="s">
        <v>#N/A N/A</v>
        <stp/>
        <stp>BDP|330756049949602133</stp>
        <tr r="I117" s="2"/>
      </tp>
      <tp t="s">
        <v>#N/A Requesting Data...1775637858</v>
        <stp/>
        <stp>BDP|489997565521329506</stp>
        <tr r="G101" s="2"/>
      </tp>
      <tp t="s">
        <v>#N/A Requesting Data...2674314584</v>
        <stp/>
        <stp>BDP|989772557719744059</stp>
        <tr r="S141" s="2"/>
      </tp>
      <tp t="s">
        <v>#N/A Requesting Data...4147209785</v>
        <stp/>
        <stp>BDP|518923305763689101</stp>
        <tr r="K162" s="2"/>
      </tp>
      <tp t="s">
        <v>#N/A N/A</v>
        <stp/>
        <stp>BDP|985748212415815832</stp>
        <tr r="C154" s="2"/>
      </tp>
      <tp t="s">
        <v>#N/A Requesting Data...3419236579</v>
        <stp/>
        <stp>BDP|767452292457654109</stp>
        <tr r="N95" s="2"/>
      </tp>
      <tp t="s">
        <v>#N/A Requesting Data...2379826541</v>
        <stp/>
        <stp>BDP|676616261363666802</stp>
        <tr r="O24" s="2"/>
      </tp>
      <tp t="s">
        <v>#N/A N/A</v>
        <stp/>
        <stp>BDP|994980875875741013</stp>
        <tr r="F6" s="2"/>
      </tp>
      <tp t="s">
        <v>#N/A Requesting Data...3945986709</v>
        <stp/>
        <stp>BDP|794383868708090650</stp>
        <tr r="Q48" s="2"/>
      </tp>
      <tp t="s">
        <v>#N/A Requesting Data...2747280529</v>
        <stp/>
        <stp>BDP|525079402288745292</stp>
        <tr r="K20" s="2"/>
      </tp>
      <tp t="s">
        <v>#N/A N/A</v>
        <stp/>
        <stp>BDP|453123662764060900</stp>
        <tr r="F131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3"/>
  <sheetViews>
    <sheetView topLeftCell="B1" workbookViewId="0"/>
  </sheetViews>
  <sheetFormatPr defaultRowHeight="15" x14ac:dyDescent="0.25"/>
  <cols>
    <col min="1" max="1" width="19" hidden="1" customWidth="1"/>
    <col min="2" max="2" width="30.42578125" customWidth="1"/>
    <col min="3" max="4" width="15.28515625" customWidth="1"/>
    <col min="5" max="5" width="1.85546875" customWidth="1"/>
    <col min="6" max="7" width="19" customWidth="1"/>
    <col min="8" max="8" width="1.85546875" customWidth="1"/>
    <col min="9" max="10" width="19" customWidth="1"/>
    <col min="11" max="11" width="19" hidden="1" customWidth="1"/>
    <col min="12" max="12" width="19" customWidth="1"/>
    <col min="13" max="13" width="1.85546875" customWidth="1"/>
    <col min="14" max="17" width="19" customWidth="1"/>
    <col min="18" max="18" width="1.85546875" customWidth="1"/>
    <col min="19" max="20" width="19" hidden="1" customWidth="1"/>
    <col min="21" max="22" width="19" customWidth="1"/>
    <col min="23" max="23" width="1.85546875" customWidth="1"/>
    <col min="24" max="25" width="19" customWidth="1"/>
  </cols>
  <sheetData>
    <row r="1" spans="1:25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/>
      <c r="I1" s="2" t="s">
        <v>6</v>
      </c>
      <c r="J1" s="2" t="s">
        <v>7</v>
      </c>
      <c r="K1" s="2" t="s">
        <v>8</v>
      </c>
      <c r="L1" s="2" t="s">
        <v>9</v>
      </c>
      <c r="M1" s="2"/>
      <c r="N1" s="2" t="s">
        <v>10</v>
      </c>
      <c r="O1" s="2" t="s">
        <v>11</v>
      </c>
      <c r="P1" s="2" t="s">
        <v>12</v>
      </c>
      <c r="Q1" s="2" t="s">
        <v>13</v>
      </c>
      <c r="R1" s="2"/>
      <c r="S1" s="2" t="s">
        <v>14</v>
      </c>
      <c r="T1" s="2" t="s">
        <v>15</v>
      </c>
      <c r="U1" s="2" t="s">
        <v>16</v>
      </c>
      <c r="V1" s="2" t="s">
        <v>17</v>
      </c>
      <c r="W1" s="2"/>
      <c r="X1" s="2" t="s">
        <v>18</v>
      </c>
      <c r="Y1" s="2" t="s">
        <v>19</v>
      </c>
    </row>
    <row r="2" spans="1:25" x14ac:dyDescent="0.25">
      <c r="A2" t="s">
        <v>20</v>
      </c>
      <c r="B2" t="str">
        <f>_xll.BDP("EEC AB Equity","DS192")</f>
        <v>ETIHAD ETISALAT</v>
      </c>
      <c r="C2">
        <f>_xll.BDP("EEC AB Equity","RR910","DS215=USD","DY339=UNIT")</f>
        <v>13808255371.978165</v>
      </c>
      <c r="D2" t="str">
        <f>_xll.BDP("EEC AB Equity","DX129")</f>
        <v>SA</v>
      </c>
      <c r="F2">
        <f>_xll.BDP("EEC AB Equity","ST058")</f>
        <v>63.5</v>
      </c>
      <c r="G2">
        <f>_xll.BDP("EEC AB Equity","SR468")</f>
        <v>30.6</v>
      </c>
      <c r="I2">
        <f>_xll.BDP("EEC AB Equity","SR001")</f>
        <v>4.059999942779541</v>
      </c>
      <c r="J2">
        <f>_xll.BDP("EEC AB Equity","SR002")</f>
        <v>2.3038580417633057</v>
      </c>
      <c r="K2">
        <f>_xll.BDP("EEC AB Equity","SR267")</f>
        <v>0.29411765933036804</v>
      </c>
      <c r="L2" t="s">
        <v>21</v>
      </c>
      <c r="N2">
        <f>_xll.BDP("EEC AB Equity","SR238")</f>
        <v>0</v>
      </c>
      <c r="O2">
        <f>_xll.BDP("EEC AB Equity","SR205")</f>
        <v>4.094965934753418</v>
      </c>
      <c r="P2">
        <f>_xll.BDP("EEC AB Equity","SR211")</f>
        <v>10</v>
      </c>
      <c r="Q2">
        <f>_xll.BDP("EEC AB Equity","SR235")</f>
        <v>0</v>
      </c>
      <c r="S2">
        <f>_xll.BDP("EEC AB Equity","SR259")</f>
        <v>0</v>
      </c>
      <c r="T2">
        <f>_xll.BDP("EEC AB Equity","SR263")</f>
        <v>0.40000000596046448</v>
      </c>
      <c r="U2" t="s">
        <v>22</v>
      </c>
      <c r="V2" t="s">
        <v>23</v>
      </c>
      <c r="X2">
        <f>_xll.BDP("EEC AB Equity","SR480")</f>
        <v>0</v>
      </c>
      <c r="Y2">
        <f>_xll.BDP("EEC AB Equity","SR477")</f>
        <v>4.9034104347229004</v>
      </c>
    </row>
    <row r="3" spans="1:25" x14ac:dyDescent="0.25">
      <c r="A3" s="1"/>
      <c r="B3" s="3" t="s">
        <v>24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25">
      <c r="A4" t="s">
        <v>25</v>
      </c>
      <c r="B4" t="str">
        <f>_xll.BDP("941 HK Equity","DS192")</f>
        <v>CHINA MOBILE-H</v>
      </c>
      <c r="C4">
        <f>_xll.BDP("941 HK Equity","RR910","DS215=USD","DY339=UNIT")</f>
        <v>226699250239.70016</v>
      </c>
      <c r="D4" t="str">
        <f>_xll.BDP("941 HK Equity","DX129")</f>
        <v>CN</v>
      </c>
      <c r="F4">
        <f>_xll.BDP("941 HK Equity","ST058")</f>
        <v>26.5</v>
      </c>
      <c r="G4">
        <f>_xll.BDP("941 HK Equity","SR468")</f>
        <v>16.5</v>
      </c>
      <c r="I4">
        <f>_xll.BDP("941 HK Equity","SR001")</f>
        <v>2.7699999809265137</v>
      </c>
      <c r="J4">
        <f>_xll.BDP("941 HK Equity","SR002")</f>
        <v>1.3149440288543701</v>
      </c>
      <c r="K4">
        <f>_xll.BDP("941 HK Equity","SR267")</f>
        <v>0.44117647409439087</v>
      </c>
      <c r="L4" t="s">
        <v>26</v>
      </c>
      <c r="N4">
        <f>_xll.BDP("941 HK Equity","SR238")</f>
        <v>0</v>
      </c>
      <c r="O4">
        <f>_xll.BDP("941 HK Equity","SR205")</f>
        <v>1.5033539533615112</v>
      </c>
      <c r="P4">
        <f>_xll.BDP("941 HK Equity","SR211")</f>
        <v>10</v>
      </c>
      <c r="Q4">
        <f>_xll.BDP("941 HK Equity","SR235")</f>
        <v>3.6583123207092285</v>
      </c>
      <c r="S4">
        <f>_xll.BDP("941 HK Equity","SR259")</f>
        <v>0</v>
      </c>
      <c r="T4">
        <f>_xll.BDP("941 HK Equity","SR263")</f>
        <v>0.60000002384185791</v>
      </c>
      <c r="U4" t="s">
        <v>22</v>
      </c>
      <c r="V4" t="s">
        <v>27</v>
      </c>
      <c r="X4">
        <f>_xll.BDP("941 HK Equity","SR480")</f>
        <v>0</v>
      </c>
      <c r="Y4">
        <f>_xll.BDP("941 HK Equity","SR477")</f>
        <v>0.87404298782348633</v>
      </c>
    </row>
    <row r="5" spans="1:25" x14ac:dyDescent="0.25">
      <c r="A5" t="s">
        <v>28</v>
      </c>
      <c r="B5" t="str">
        <f>_xll.BDP("TMUS US Equity","DS192")</f>
        <v>T-MOBILE US INC</v>
      </c>
      <c r="C5">
        <f>_xll.BDP("TMUS US Equity","RR910","DS215=USD","DY339=UNIT")</f>
        <v>215645556649.69</v>
      </c>
      <c r="D5" t="str">
        <f>_xll.BDP("TMUS US Equity","DX129")</f>
        <v>US</v>
      </c>
      <c r="F5">
        <f>_xll.BDP("TMUS US Equity","ST058")</f>
        <v>96.5</v>
      </c>
      <c r="G5">
        <f>_xll.BDP("TMUS US Equity","SR468")</f>
        <v>98.8</v>
      </c>
      <c r="I5">
        <f>_xll.BDP("TMUS US Equity","SR001")</f>
        <v>5.7800002098083496</v>
      </c>
      <c r="J5">
        <f>_xll.BDP("TMUS US Equity","SR002")</f>
        <v>7.1295809745788574</v>
      </c>
      <c r="K5">
        <f>_xll.BDP("TMUS US Equity","SR267")</f>
        <v>0.79411762952804565</v>
      </c>
      <c r="L5" t="s">
        <v>29</v>
      </c>
      <c r="N5">
        <f>_xll.BDP("TMUS US Equity","SR238")</f>
        <v>5.1945757865905762</v>
      </c>
      <c r="O5">
        <f>_xll.BDP("TMUS US Equity","SR205")</f>
        <v>8.8621358871459961</v>
      </c>
      <c r="P5">
        <f>_xll.BDP("TMUS US Equity","SR211")</f>
        <v>10</v>
      </c>
      <c r="Q5">
        <f>_xll.BDP("TMUS US Equity","SR235")</f>
        <v>1.9747449159622192</v>
      </c>
      <c r="S5">
        <f>_xll.BDP("TMUS US Equity","SR259")</f>
        <v>0.2222222238779068</v>
      </c>
      <c r="T5">
        <f>_xll.BDP("TMUS US Equity","SR263")</f>
        <v>1</v>
      </c>
      <c r="U5" t="s">
        <v>30</v>
      </c>
      <c r="V5" t="s">
        <v>31</v>
      </c>
      <c r="X5">
        <f>_xll.BDP("TMUS US Equity","SR480")</f>
        <v>8.1441583633422852</v>
      </c>
      <c r="Y5">
        <f>_xll.BDP("TMUS US Equity","SR477")</f>
        <v>8.3880252838134766</v>
      </c>
    </row>
    <row r="6" spans="1:25" x14ac:dyDescent="0.25">
      <c r="A6" t="s">
        <v>32</v>
      </c>
      <c r="B6" t="str">
        <f>_xll.BDP("VZ US Equity","DS192")</f>
        <v>VERIZON COMMUNIC</v>
      </c>
      <c r="C6">
        <f>_xll.BDP("VZ US Equity","RR910","DS215=USD","DY339=UNIT")</f>
        <v>192447199999.99997</v>
      </c>
      <c r="D6" t="str">
        <f>_xll.BDP("VZ US Equity","DX129")</f>
        <v>US</v>
      </c>
      <c r="F6">
        <f>_xll.BDP("VZ US Equity","ST058")</f>
        <v>93.5</v>
      </c>
      <c r="G6">
        <f>_xll.BDP("VZ US Equity","SR468")</f>
        <v>95.9</v>
      </c>
      <c r="I6">
        <f>_xll.BDP("VZ US Equity","SR001")</f>
        <v>5.6100001335144043</v>
      </c>
      <c r="J6">
        <f>_xll.BDP("VZ US Equity","SR002")</f>
        <v>6.8702006340026855</v>
      </c>
      <c r="K6">
        <f>_xll.BDP("VZ US Equity","SR267")</f>
        <v>0.88235294818878174</v>
      </c>
      <c r="L6" t="s">
        <v>33</v>
      </c>
      <c r="N6">
        <f>_xll.BDP("VZ US Equity","SR238")</f>
        <v>6.1007366180419922</v>
      </c>
      <c r="O6">
        <f>_xll.BDP("VZ US Equity","SR205")</f>
        <v>7.5622787475585938</v>
      </c>
      <c r="P6">
        <f>_xll.BDP("VZ US Equity","SR211")</f>
        <v>10</v>
      </c>
      <c r="Q6">
        <f>_xll.BDP("VZ US Equity","SR235")</f>
        <v>1.9747449159622192</v>
      </c>
      <c r="S6">
        <f>_xll.BDP("VZ US Equity","SR259")</f>
        <v>0.55555558204650879</v>
      </c>
      <c r="T6">
        <f>_xll.BDP("VZ US Equity","SR263")</f>
        <v>1</v>
      </c>
      <c r="U6" t="s">
        <v>34</v>
      </c>
      <c r="V6" t="s">
        <v>31</v>
      </c>
      <c r="X6">
        <f>_xll.BDP("VZ US Equity","SR480")</f>
        <v>6.8954668045043945</v>
      </c>
      <c r="Y6">
        <f>_xll.BDP("VZ US Equity","SR477")</f>
        <v>6.5465617179870605</v>
      </c>
    </row>
    <row r="7" spans="1:25" x14ac:dyDescent="0.25">
      <c r="A7" t="s">
        <v>35</v>
      </c>
      <c r="B7" t="str">
        <f>_xll.BDP("T US Equity","DS192")</f>
        <v>AT&amp;T INC</v>
      </c>
      <c r="C7">
        <f>_xll.BDP("T US Equity","RR910","DS215=USD","DY339=UNIT")</f>
        <v>184784899062.95993</v>
      </c>
      <c r="D7" t="str">
        <f>_xll.BDP("T US Equity","DX129")</f>
        <v>US</v>
      </c>
      <c r="F7">
        <f>_xll.BDP("T US Equity","ST058")</f>
        <v>90</v>
      </c>
      <c r="G7">
        <f>_xll.BDP("T US Equity","SR468")</f>
        <v>85.9</v>
      </c>
      <c r="I7">
        <f>_xll.BDP("T US Equity","SR001")</f>
        <v>5.4200000762939453</v>
      </c>
      <c r="J7">
        <f>_xll.BDP("T US Equity","SR002")</f>
        <v>5.8831791877746582</v>
      </c>
      <c r="K7">
        <f>_xll.BDP("T US Equity","SR267")</f>
        <v>0.79411762952804565</v>
      </c>
      <c r="L7" t="s">
        <v>29</v>
      </c>
      <c r="N7">
        <f>_xll.BDP("T US Equity","SR238")</f>
        <v>6.1057825088500977</v>
      </c>
      <c r="O7">
        <f>_xll.BDP("T US Equity","SR205")</f>
        <v>5.6179313659667969</v>
      </c>
      <c r="P7">
        <f>_xll.BDP("T US Equity","SR211")</f>
        <v>10</v>
      </c>
      <c r="Q7">
        <f>_xll.BDP("T US Equity","SR235")</f>
        <v>1.9747449159622192</v>
      </c>
      <c r="S7">
        <f>_xll.BDP("T US Equity","SR259")</f>
        <v>0.2222222238779068</v>
      </c>
      <c r="T7">
        <f>_xll.BDP("T US Equity","SR263")</f>
        <v>1</v>
      </c>
      <c r="U7" t="s">
        <v>30</v>
      </c>
      <c r="V7" t="s">
        <v>31</v>
      </c>
      <c r="X7">
        <f>_xll.BDP("T US Equity","SR480")</f>
        <v>9.6746644973754883</v>
      </c>
      <c r="Y7">
        <f>_xll.BDP("T US Equity","SR477")</f>
        <v>3.792069673538208</v>
      </c>
    </row>
    <row r="8" spans="1:25" x14ac:dyDescent="0.25">
      <c r="A8" t="s">
        <v>36</v>
      </c>
      <c r="B8" t="str">
        <f>_xll.BDP("DTE GR Equity","DS192")</f>
        <v>DEUTSCHE TELEKOM</v>
      </c>
      <c r="C8">
        <f>_xll.BDP("DTE GR Equity","RR910","DS215=USD","DY339=UNIT")</f>
        <v>177828215800.9855</v>
      </c>
      <c r="D8" t="str">
        <f>_xll.BDP("DTE GR Equity","DX129")</f>
        <v>DE</v>
      </c>
      <c r="F8">
        <f>_xll.BDP("DTE GR Equity","ST058")</f>
        <v>85.3</v>
      </c>
      <c r="G8">
        <f>_xll.BDP("DTE GR Equity","SR468")</f>
        <v>97.1</v>
      </c>
      <c r="I8">
        <f>_xll.BDP("DTE GR Equity","SR001")</f>
        <v>4.9800000190734863</v>
      </c>
      <c r="J8">
        <f>_xll.BDP("DTE GR Equity","SR002")</f>
        <v>6.9110088348388672</v>
      </c>
      <c r="K8">
        <f>_xll.BDP("DTE GR Equity","SR267")</f>
        <v>0.79411762952804565</v>
      </c>
      <c r="L8" t="s">
        <v>29</v>
      </c>
      <c r="N8">
        <f>_xll.BDP("DTE GR Equity","SR238")</f>
        <v>4.3481369018554688</v>
      </c>
      <c r="O8">
        <f>_xll.BDP("DTE GR Equity","SR205")</f>
        <v>8.9452104568481445</v>
      </c>
      <c r="P8">
        <f>_xll.BDP("DTE GR Equity","SR211")</f>
        <v>10</v>
      </c>
      <c r="Q8">
        <f>_xll.BDP("DTE GR Equity","SR235")</f>
        <v>3.6583123207092285</v>
      </c>
      <c r="S8">
        <f>_xll.BDP("DTE GR Equity","SR259")</f>
        <v>0.2222222238779068</v>
      </c>
      <c r="T8">
        <f>_xll.BDP("DTE GR Equity","SR263")</f>
        <v>1</v>
      </c>
      <c r="U8" t="s">
        <v>30</v>
      </c>
      <c r="V8" t="s">
        <v>31</v>
      </c>
      <c r="X8">
        <f>_xll.BDP("DTE GR Equity","SR480")</f>
        <v>6.722440242767334</v>
      </c>
      <c r="Y8">
        <f>_xll.BDP("DTE GR Equity","SR477")</f>
        <v>8.5057153701782227</v>
      </c>
    </row>
    <row r="9" spans="1:25" x14ac:dyDescent="0.25">
      <c r="A9" t="s">
        <v>37</v>
      </c>
      <c r="B9" t="str">
        <f>_xll.BDP("9984 JP Equity","DS192")</f>
        <v>SOFTBANK GROUP C</v>
      </c>
      <c r="C9">
        <f>_xll.BDP("9984 JP Equity","RR910","DS215=USD","DY339=UNIT")</f>
        <v>133409944928.49184</v>
      </c>
      <c r="D9" t="str">
        <f>_xll.BDP("9984 JP Equity","DX129")</f>
        <v>JP</v>
      </c>
      <c r="F9">
        <f>_xll.BDP("9984 JP Equity","ST058")</f>
        <v>57.4</v>
      </c>
      <c r="G9">
        <f>_xll.BDP("9984 JP Equity","SR468")</f>
        <v>94.7</v>
      </c>
      <c r="I9">
        <f>_xll.BDP("9984 JP Equity","SR001")</f>
        <v>3.9100000858306885</v>
      </c>
      <c r="J9">
        <f>_xll.BDP("9984 JP Equity","SR002")</f>
        <v>6.6095337867736816</v>
      </c>
      <c r="K9">
        <f>_xll.BDP("9984 JP Equity","SR267")</f>
        <v>0.79411762952804565</v>
      </c>
      <c r="L9" t="s">
        <v>29</v>
      </c>
      <c r="N9">
        <f>_xll.BDP("9984 JP Equity","SR238")</f>
        <v>5.0180606842041016</v>
      </c>
      <c r="O9">
        <f>_xll.BDP("9984 JP Equity","SR205")</f>
        <v>7.6931900978088379</v>
      </c>
      <c r="P9">
        <f>_xll.BDP("9984 JP Equity","SR211")</f>
        <v>10</v>
      </c>
      <c r="Q9">
        <f>_xll.BDP("9984 JP Equity","SR235")</f>
        <v>3.6583123207092285</v>
      </c>
      <c r="S9">
        <f>_xll.BDP("9984 JP Equity","SR259")</f>
        <v>0.2222222238779068</v>
      </c>
      <c r="T9">
        <f>_xll.BDP("9984 JP Equity","SR263")</f>
        <v>1</v>
      </c>
      <c r="U9" t="s">
        <v>30</v>
      </c>
      <c r="V9" t="s">
        <v>31</v>
      </c>
      <c r="X9">
        <f>_xll.BDP("9984 JP Equity","SR480")</f>
        <v>7.8476758003234863</v>
      </c>
      <c r="Y9">
        <f>_xll.BDP("9984 JP Equity","SR477")</f>
        <v>6.7320189476013184</v>
      </c>
    </row>
    <row r="10" spans="1:25" x14ac:dyDescent="0.25">
      <c r="A10" t="s">
        <v>38</v>
      </c>
      <c r="B10" t="str">
        <f>_xll.BDP("BHARTI IN Equity","DS192")</f>
        <v>BHARTI AIRTEL</v>
      </c>
      <c r="C10">
        <f>_xll.BDP("BHARTI IN Equity","RR910","DS215=USD","DY339=UNIT")</f>
        <v>121516213365.64719</v>
      </c>
      <c r="D10" t="str">
        <f>_xll.BDP("BHARTI IN Equity","DX129")</f>
        <v>IN</v>
      </c>
      <c r="F10" t="str">
        <f>_xll.BDP("BHARTI IN Equity","ST058")</f>
        <v>#N/A N/A</v>
      </c>
      <c r="G10" t="str">
        <f>_xll.BDP("BHARTI IN Equity","SR468")</f>
        <v>#N/A N/A</v>
      </c>
      <c r="I10" t="str">
        <f>_xll.BDP("BHARTI IN Equity","SR001")</f>
        <v>#N/A N/A</v>
      </c>
      <c r="J10" t="str">
        <f>_xll.BDP("BHARTI IN Equity","SR002")</f>
        <v>#N/A N/A</v>
      </c>
      <c r="K10" t="str">
        <f>_xll.BDP("BHARTI IN Equity","SR267")</f>
        <v>#N/A N/A</v>
      </c>
      <c r="N10" t="str">
        <f>_xll.BDP("BHARTI IN Equity","SR238")</f>
        <v>#N/A N/A</v>
      </c>
      <c r="O10" t="str">
        <f>_xll.BDP("BHARTI IN Equity","SR205")</f>
        <v>#N/A N/A</v>
      </c>
      <c r="P10" t="str">
        <f>_xll.BDP("BHARTI IN Equity","SR211")</f>
        <v>#N/A N/A</v>
      </c>
      <c r="Q10" t="str">
        <f>_xll.BDP("BHARTI IN Equity","SR235")</f>
        <v>#N/A N/A</v>
      </c>
      <c r="S10" t="str">
        <f>_xll.BDP("BHARTI IN Equity","SR259")</f>
        <v>#N/A N/A</v>
      </c>
      <c r="T10" t="str">
        <f>_xll.BDP("BHARTI IN Equity","SR263")</f>
        <v>#N/A N/A</v>
      </c>
      <c r="X10" t="str">
        <f>_xll.BDP("BHARTI IN Equity","SR480")</f>
        <v>#N/A N/A</v>
      </c>
      <c r="Y10" t="str">
        <f>_xll.BDP("BHARTI IN Equity","SR477")</f>
        <v>#N/A N/A</v>
      </c>
    </row>
    <row r="11" spans="1:25" x14ac:dyDescent="0.25">
      <c r="A11" t="s">
        <v>39</v>
      </c>
      <c r="B11" t="str">
        <f>_xll.BDP("CMCSA US Equity","DS192")</f>
        <v>COMCAST CORP-A</v>
      </c>
      <c r="C11">
        <f>_xll.BDP("CMCSA US Equity","RR910","DS215=USD","DY339=UNIT")</f>
        <v>100487838613.48544</v>
      </c>
      <c r="D11" t="str">
        <f>_xll.BDP("CMCSA US Equity","DX129")</f>
        <v>US</v>
      </c>
      <c r="F11">
        <f>_xll.BDP("CMCSA US Equity","ST058")</f>
        <v>75.599999999999994</v>
      </c>
      <c r="G11">
        <f>_xll.BDP("CMCSA US Equity","SR468")</f>
        <v>47.1</v>
      </c>
      <c r="I11">
        <f>_xll.BDP("CMCSA US Equity","SR001")</f>
        <v>4.5799999237060547</v>
      </c>
      <c r="J11">
        <f>_xll.BDP("CMCSA US Equity","SR002")</f>
        <v>2.9585256576538086</v>
      </c>
      <c r="K11">
        <f>_xll.BDP("CMCSA US Equity","SR267")</f>
        <v>0.73529410362243652</v>
      </c>
      <c r="L11" t="s">
        <v>40</v>
      </c>
      <c r="N11">
        <f>_xll.BDP("CMCSA US Equity","SR238")</f>
        <v>0</v>
      </c>
      <c r="O11">
        <f>_xll.BDP("CMCSA US Equity","SR205")</f>
        <v>5.7132983207702637</v>
      </c>
      <c r="P11">
        <f>_xll.BDP("CMCSA US Equity","SR211")</f>
        <v>10</v>
      </c>
      <c r="Q11">
        <f>_xll.BDP("CMCSA US Equity","SR235")</f>
        <v>0</v>
      </c>
      <c r="S11">
        <f>_xll.BDP("CMCSA US Equity","SR259")</f>
        <v>0</v>
      </c>
      <c r="T11">
        <f>_xll.BDP("CMCSA US Equity","SR263")</f>
        <v>1</v>
      </c>
      <c r="U11" t="s">
        <v>22</v>
      </c>
      <c r="V11" t="s">
        <v>31</v>
      </c>
      <c r="X11">
        <f>_xll.BDP("CMCSA US Equity","SR480")</f>
        <v>0</v>
      </c>
      <c r="Y11">
        <f>_xll.BDP("CMCSA US Equity","SR477")</f>
        <v>3.9271724224090576</v>
      </c>
    </row>
    <row r="12" spans="1:25" x14ac:dyDescent="0.25">
      <c r="A12" t="s">
        <v>41</v>
      </c>
      <c r="B12" t="str">
        <f>_xll.BDP("9432 JP Equity","DS192")</f>
        <v>NTT INC</v>
      </c>
      <c r="C12">
        <f>_xll.BDP("9432 JP Equity","RR910","DS215=USD","DY339=UNIT")</f>
        <v>86616300676.865219</v>
      </c>
      <c r="D12" t="str">
        <f>_xll.BDP("9432 JP Equity","DX129")</f>
        <v>JP</v>
      </c>
      <c r="F12">
        <f>_xll.BDP("9432 JP Equity","ST058")</f>
        <v>99.4</v>
      </c>
      <c r="G12">
        <f>_xll.BDP("9432 JP Equity","SR468")</f>
        <v>92.9</v>
      </c>
      <c r="I12">
        <f>_xll.BDP("9432 JP Equity","SR001")</f>
        <v>6.8299999237060547</v>
      </c>
      <c r="J12">
        <f>_xll.BDP("9432 JP Equity","SR002")</f>
        <v>6.418302059173584</v>
      </c>
      <c r="K12">
        <f>_xll.BDP("9432 JP Equity","SR267")</f>
        <v>0.79411762952804565</v>
      </c>
      <c r="L12" t="s">
        <v>29</v>
      </c>
      <c r="N12">
        <f>_xll.BDP("9432 JP Equity","SR238")</f>
        <v>5.6114883422851563</v>
      </c>
      <c r="O12">
        <f>_xll.BDP("9432 JP Equity","SR205")</f>
        <v>6.8208179473876953</v>
      </c>
      <c r="P12">
        <f>_xll.BDP("9432 JP Equity","SR211")</f>
        <v>10</v>
      </c>
      <c r="Q12">
        <f>_xll.BDP("9432 JP Equity","SR235")</f>
        <v>3.6583123207092285</v>
      </c>
      <c r="S12">
        <f>_xll.BDP("9432 JP Equity","SR259")</f>
        <v>0.2222222238779068</v>
      </c>
      <c r="T12">
        <f>_xll.BDP("9432 JP Equity","SR263")</f>
        <v>1</v>
      </c>
      <c r="U12" t="s">
        <v>30</v>
      </c>
      <c r="V12" t="s">
        <v>31</v>
      </c>
      <c r="X12">
        <f>_xll.BDP("9432 JP Equity","SR480")</f>
        <v>8.8444252014160156</v>
      </c>
      <c r="Y12">
        <f>_xll.BDP("9432 JP Equity","SR477")</f>
        <v>5.4961590766906738</v>
      </c>
    </row>
    <row r="13" spans="1:25" x14ac:dyDescent="0.25">
      <c r="A13" t="s">
        <v>42</v>
      </c>
      <c r="B13" t="str">
        <f>_xll.BDP("AMXB MM Equity","DS192")</f>
        <v>AMERICA MOVIL-B</v>
      </c>
      <c r="C13">
        <f>_xll.BDP("AMXB MM Equity","RR910","DS215=USD","DY339=UNIT")</f>
        <v>81602431172.960403</v>
      </c>
      <c r="D13" t="str">
        <f>_xll.BDP("AMXB MM Equity","DX129")</f>
        <v>MX</v>
      </c>
      <c r="F13">
        <f>_xll.BDP("AMXB MM Equity","ST058")</f>
        <v>52.4</v>
      </c>
      <c r="G13">
        <f>_xll.BDP("AMXB MM Equity","SR468")</f>
        <v>52.4</v>
      </c>
      <c r="I13">
        <f>_xll.BDP("AMXB MM Equity","SR001")</f>
        <v>3.7400000095367432</v>
      </c>
      <c r="J13">
        <f>_xll.BDP("AMXB MM Equity","SR002")</f>
        <v>3.1899943351745605</v>
      </c>
      <c r="K13">
        <f>_xll.BDP("AMXB MM Equity","SR267")</f>
        <v>0.58823531866073608</v>
      </c>
      <c r="L13" t="s">
        <v>43</v>
      </c>
      <c r="N13">
        <f>_xll.BDP("AMXB MM Equity","SR238")</f>
        <v>0</v>
      </c>
      <c r="O13">
        <f>_xll.BDP("AMXB MM Equity","SR205")</f>
        <v>5.9679780006408691</v>
      </c>
      <c r="P13">
        <f>_xll.BDP("AMXB MM Equity","SR211")</f>
        <v>10</v>
      </c>
      <c r="Q13">
        <f>_xll.BDP("AMXB MM Equity","SR235")</f>
        <v>1.9747449159622192</v>
      </c>
      <c r="S13">
        <f>_xll.BDP("AMXB MM Equity","SR259")</f>
        <v>0</v>
      </c>
      <c r="T13">
        <f>_xll.BDP("AMXB MM Equity","SR263")</f>
        <v>0.80000001192092896</v>
      </c>
      <c r="U13" t="s">
        <v>22</v>
      </c>
      <c r="V13" t="s">
        <v>44</v>
      </c>
      <c r="X13">
        <f>_xll.BDP("AMXB MM Equity","SR480")</f>
        <v>0</v>
      </c>
      <c r="Y13">
        <f>_xll.BDP("AMXB MM Equity","SR477")</f>
        <v>5.3122859001159668</v>
      </c>
    </row>
    <row r="14" spans="1:25" x14ac:dyDescent="0.25">
      <c r="A14" t="s">
        <v>45</v>
      </c>
      <c r="B14" t="str">
        <f>_xll.BDP("728 HK Equity","DS192")</f>
        <v>CHINA TELECOM-H</v>
      </c>
      <c r="C14">
        <f>_xll.BDP("728 HK Equity","RR910","DS215=USD","DY339=UNIT")</f>
        <v>74265310428.349854</v>
      </c>
      <c r="D14" t="str">
        <f>_xll.BDP("728 HK Equity","DX129")</f>
        <v>CN</v>
      </c>
      <c r="F14">
        <f>_xll.BDP("728 HK Equity","ST058")</f>
        <v>21.2</v>
      </c>
      <c r="G14">
        <f>_xll.BDP("728 HK Equity","SR468")</f>
        <v>18.2</v>
      </c>
      <c r="I14">
        <f>_xll.BDP("728 HK Equity","SR001")</f>
        <v>2.559999942779541</v>
      </c>
      <c r="J14">
        <f>_xll.BDP("728 HK Equity","SR002")</f>
        <v>1.3814519643783569</v>
      </c>
      <c r="K14">
        <f>_xll.BDP("728 HK Equity","SR267")</f>
        <v>0.73529410362243652</v>
      </c>
      <c r="L14" t="s">
        <v>40</v>
      </c>
      <c r="N14">
        <f>_xll.BDP("728 HK Equity","SR238")</f>
        <v>0</v>
      </c>
      <c r="O14">
        <f>_xll.BDP("728 HK Equity","SR205")</f>
        <v>1.9736213684082031</v>
      </c>
      <c r="P14">
        <f>_xll.BDP("728 HK Equity","SR211")</f>
        <v>10</v>
      </c>
      <c r="Q14">
        <f>_xll.BDP("728 HK Equity","SR235")</f>
        <v>0</v>
      </c>
      <c r="S14">
        <f>_xll.BDP("728 HK Equity","SR259")</f>
        <v>0</v>
      </c>
      <c r="T14">
        <f>_xll.BDP("728 HK Equity","SR263")</f>
        <v>1</v>
      </c>
      <c r="U14" t="s">
        <v>22</v>
      </c>
      <c r="V14" t="s">
        <v>31</v>
      </c>
      <c r="X14">
        <f>_xll.BDP("728 HK Equity","SR480")</f>
        <v>0</v>
      </c>
      <c r="Y14">
        <f>_xll.BDP("728 HK Equity","SR477")</f>
        <v>0.74010801315307617</v>
      </c>
    </row>
    <row r="15" spans="1:25" x14ac:dyDescent="0.25">
      <c r="A15" t="s">
        <v>46</v>
      </c>
      <c r="B15" t="str">
        <f>_xll.BDP("9433 JP Equity","DS192")</f>
        <v>KDDI CORP</v>
      </c>
      <c r="C15">
        <f>_xll.BDP("9433 JP Equity","RR910","DS215=USD","DY339=UNIT")</f>
        <v>68595859139.305702</v>
      </c>
      <c r="D15" t="str">
        <f>_xll.BDP("9433 JP Equity","DX129")</f>
        <v>JP</v>
      </c>
      <c r="F15">
        <f>_xll.BDP("9433 JP Equity","ST058")</f>
        <v>86.8</v>
      </c>
      <c r="G15">
        <f>_xll.BDP("9433 JP Equity","SR468")</f>
        <v>85.3</v>
      </c>
      <c r="I15">
        <f>_xll.BDP("9433 JP Equity","SR001")</f>
        <v>5.0100002288818359</v>
      </c>
      <c r="J15">
        <f>_xll.BDP("9433 JP Equity","SR002")</f>
        <v>5.7910647392272949</v>
      </c>
      <c r="K15">
        <f>_xll.BDP("9433 JP Equity","SR267")</f>
        <v>0.79411762952804565</v>
      </c>
      <c r="L15" t="s">
        <v>29</v>
      </c>
      <c r="N15">
        <f>_xll.BDP("9433 JP Equity","SR238")</f>
        <v>5.3358173370361328</v>
      </c>
      <c r="O15">
        <f>_xll.BDP("9433 JP Equity","SR205")</f>
        <v>5.991631031036377</v>
      </c>
      <c r="P15">
        <f>_xll.BDP("9433 JP Equity","SR211")</f>
        <v>10</v>
      </c>
      <c r="Q15">
        <f>_xll.BDP("9433 JP Equity","SR235")</f>
        <v>1.9747449159622192</v>
      </c>
      <c r="S15">
        <f>_xll.BDP("9433 JP Equity","SR259")</f>
        <v>0.2222222238779068</v>
      </c>
      <c r="T15">
        <f>_xll.BDP("9433 JP Equity","SR263")</f>
        <v>1</v>
      </c>
      <c r="U15" t="s">
        <v>30</v>
      </c>
      <c r="V15" t="s">
        <v>31</v>
      </c>
      <c r="X15">
        <f>_xll.BDP("9433 JP Equity","SR480")</f>
        <v>8.3813953399658203</v>
      </c>
      <c r="Y15">
        <f>_xll.BDP("9433 JP Equity","SR477")</f>
        <v>4.3214774131774902</v>
      </c>
    </row>
    <row r="16" spans="1:25" x14ac:dyDescent="0.25">
      <c r="A16" t="s">
        <v>47</v>
      </c>
      <c r="B16" t="str">
        <f>_xll.BDP("9434 JP Equity","DS192")</f>
        <v>SOFTBANK CORP</v>
      </c>
      <c r="C16">
        <f>_xll.BDP("9434 JP Equity","RR910","DS215=USD","DY339=UNIT")</f>
        <v>65540087169.071922</v>
      </c>
      <c r="D16" t="str">
        <f>_xll.BDP("9434 JP Equity","DX129")</f>
        <v>JP</v>
      </c>
      <c r="F16">
        <f>_xll.BDP("9434 JP Equity","ST058")</f>
        <v>74.400000000000006</v>
      </c>
      <c r="G16">
        <f>_xll.BDP("9434 JP Equity","SR468")</f>
        <v>86.5</v>
      </c>
      <c r="I16">
        <f>_xll.BDP("9434 JP Equity","SR001")</f>
        <v>4.570000171661377</v>
      </c>
      <c r="J16">
        <f>_xll.BDP("9434 JP Equity","SR002")</f>
        <v>5.9067239761352539</v>
      </c>
      <c r="K16">
        <f>_xll.BDP("9434 JP Equity","SR267")</f>
        <v>0.73529410362243652</v>
      </c>
      <c r="L16" t="s">
        <v>40</v>
      </c>
      <c r="N16">
        <f>_xll.BDP("9434 JP Equity","SR238")</f>
        <v>3</v>
      </c>
      <c r="O16">
        <f>_xll.BDP("9434 JP Equity","SR205")</f>
        <v>8.1080846786499023</v>
      </c>
      <c r="P16">
        <f>_xll.BDP("9434 JP Equity","SR211")</f>
        <v>10</v>
      </c>
      <c r="Q16">
        <f>_xll.BDP("9434 JP Equity","SR235")</f>
        <v>3.6583123207092285</v>
      </c>
      <c r="S16">
        <f>_xll.BDP("9434 JP Equity","SR259")</f>
        <v>0</v>
      </c>
      <c r="T16">
        <f>_xll.BDP("9434 JP Equity","SR263")</f>
        <v>1</v>
      </c>
      <c r="U16" t="s">
        <v>22</v>
      </c>
      <c r="V16" t="s">
        <v>31</v>
      </c>
      <c r="X16">
        <f>_xll.BDP("9434 JP Equity","SR480")</f>
        <v>10</v>
      </c>
      <c r="Y16">
        <f>_xll.BDP("9434 JP Equity","SR477")</f>
        <v>7.319786548614502</v>
      </c>
    </row>
    <row r="17" spans="1:25" x14ac:dyDescent="0.25">
      <c r="A17" t="s">
        <v>48</v>
      </c>
      <c r="B17" t="str">
        <f>_xll.BDP("ST SP Equity","DS192")</f>
        <v>SINGAPORE TELECO</v>
      </c>
      <c r="C17">
        <f>_xll.BDP("ST SP Equity","RR910","DS215=USD","DY339=UNIT")</f>
        <v>63037573589.081696</v>
      </c>
      <c r="D17" t="str">
        <f>_xll.BDP("ST SP Equity","DX129")</f>
        <v>SG</v>
      </c>
      <c r="F17">
        <f>_xll.BDP("ST SP Equity","ST058")</f>
        <v>94.7</v>
      </c>
      <c r="G17">
        <f>_xll.BDP("ST SP Equity","SR468")</f>
        <v>81.2</v>
      </c>
      <c r="I17">
        <f>_xll.BDP("ST SP Equity","SR001")</f>
        <v>5.7199997901916504</v>
      </c>
      <c r="J17">
        <f>_xll.BDP("ST SP Equity","SR002")</f>
        <v>5.3106207847595215</v>
      </c>
      <c r="K17">
        <f>_xll.BDP("ST SP Equity","SR267")</f>
        <v>1</v>
      </c>
      <c r="L17" t="s">
        <v>31</v>
      </c>
      <c r="N17">
        <f>_xll.BDP("ST SP Equity","SR238")</f>
        <v>4.8977279663085938</v>
      </c>
      <c r="O17">
        <f>_xll.BDP("ST SP Equity","SR205")</f>
        <v>5.1880373954772949</v>
      </c>
      <c r="P17">
        <f>_xll.BDP("ST SP Equity","SR211")</f>
        <v>10</v>
      </c>
      <c r="Q17">
        <f>_xll.BDP("ST SP Equity","SR235")</f>
        <v>3.6583123207092285</v>
      </c>
      <c r="S17">
        <f>_xll.BDP("ST SP Equity","SR259")</f>
        <v>1</v>
      </c>
      <c r="T17">
        <f>_xll.BDP("ST SP Equity","SR263")</f>
        <v>1</v>
      </c>
      <c r="U17" t="s">
        <v>31</v>
      </c>
      <c r="V17" t="s">
        <v>31</v>
      </c>
      <c r="X17">
        <f>_xll.BDP("ST SP Equity","SR480")</f>
        <v>2.7717809677124023</v>
      </c>
      <c r="Y17">
        <f>_xll.BDP("ST SP Equity","SR477")</f>
        <v>3.1830527782440186</v>
      </c>
    </row>
    <row r="18" spans="1:25" x14ac:dyDescent="0.25">
      <c r="A18" t="s">
        <v>49</v>
      </c>
      <c r="B18" t="str">
        <f>_xll.BDP("STC AB Equity","DS192")</f>
        <v>SAUDI TELECOM CO</v>
      </c>
      <c r="C18">
        <f>_xll.BDP("STC AB Equity","RR910","DS215=USD","DY339=UNIT")</f>
        <v>56809402468.222237</v>
      </c>
      <c r="D18" t="str">
        <f>_xll.BDP("STC AB Equity","DX129")</f>
        <v>SA</v>
      </c>
      <c r="F18">
        <f>_xll.BDP("STC AB Equity","ST058")</f>
        <v>69.400000000000006</v>
      </c>
      <c r="G18">
        <f>_xll.BDP("STC AB Equity","SR468")</f>
        <v>37.1</v>
      </c>
      <c r="I18">
        <f>_xll.BDP("STC AB Equity","SR001")</f>
        <v>4.3400001525878906</v>
      </c>
      <c r="J18">
        <f>_xll.BDP("STC AB Equity","SR002")</f>
        <v>2.5161240100860596</v>
      </c>
      <c r="K18">
        <f>_xll.BDP("STC AB Equity","SR267")</f>
        <v>0.44117647409439087</v>
      </c>
      <c r="L18" t="s">
        <v>26</v>
      </c>
      <c r="N18">
        <f>_xll.BDP("STC AB Equity","SR238")</f>
        <v>0</v>
      </c>
      <c r="O18">
        <f>_xll.BDP("STC AB Equity","SR205")</f>
        <v>4.6111555099487305</v>
      </c>
      <c r="P18">
        <f>_xll.BDP("STC AB Equity","SR211")</f>
        <v>10</v>
      </c>
      <c r="Q18">
        <f>_xll.BDP("STC AB Equity","SR235")</f>
        <v>0</v>
      </c>
      <c r="S18">
        <f>_xll.BDP("STC AB Equity","SR259")</f>
        <v>0</v>
      </c>
      <c r="T18">
        <f>_xll.BDP("STC AB Equity","SR263")</f>
        <v>0.60000002384185791</v>
      </c>
      <c r="U18" t="s">
        <v>22</v>
      </c>
      <c r="V18" t="s">
        <v>27</v>
      </c>
      <c r="X18">
        <f>_xll.BDP("STC AB Equity","SR480")</f>
        <v>0</v>
      </c>
      <c r="Y18">
        <f>_xll.BDP("STC AB Equity","SR477")</f>
        <v>4.4552984237670898</v>
      </c>
    </row>
    <row r="19" spans="1:25" x14ac:dyDescent="0.25">
      <c r="A19" t="s">
        <v>50</v>
      </c>
      <c r="B19" t="str">
        <f>_xll.BDP("ORA FP Equity","DS192")</f>
        <v>ORANGE</v>
      </c>
      <c r="C19">
        <f>_xll.BDP("ORA FP Equity","RR910","DS215=USD","DY339=UNIT")</f>
        <v>55787559700.545845</v>
      </c>
      <c r="D19" t="str">
        <f>_xll.BDP("ORA FP Equity","DX129")</f>
        <v>FR</v>
      </c>
      <c r="F19">
        <f>_xll.BDP("ORA FP Equity","ST058")</f>
        <v>90.6</v>
      </c>
      <c r="G19">
        <f>_xll.BDP("ORA FP Equity","SR468")</f>
        <v>94.1</v>
      </c>
      <c r="I19">
        <f>_xll.BDP("ORA FP Equity","SR001")</f>
        <v>5.4499998092651367</v>
      </c>
      <c r="J19">
        <f>_xll.BDP("ORA FP Equity","SR002")</f>
        <v>6.4683547019958496</v>
      </c>
      <c r="K19">
        <f>_xll.BDP("ORA FP Equity","SR267")</f>
        <v>0.94117647409439087</v>
      </c>
      <c r="L19" t="s">
        <v>51</v>
      </c>
      <c r="N19">
        <f>_xll.BDP("ORA FP Equity","SR238")</f>
        <v>6.1274886131286621</v>
      </c>
      <c r="O19">
        <f>_xll.BDP("ORA FP Equity","SR205")</f>
        <v>6.7379179000854492</v>
      </c>
      <c r="P19">
        <f>_xll.BDP("ORA FP Equity","SR211")</f>
        <v>10</v>
      </c>
      <c r="Q19">
        <f>_xll.BDP("ORA FP Equity","SR235")</f>
        <v>1.9747449159622192</v>
      </c>
      <c r="S19">
        <f>_xll.BDP("ORA FP Equity","SR259")</f>
        <v>0.77777779102325439</v>
      </c>
      <c r="T19">
        <f>_xll.BDP("ORA FP Equity","SR263")</f>
        <v>1</v>
      </c>
      <c r="U19" t="s">
        <v>52</v>
      </c>
      <c r="V19" t="s">
        <v>31</v>
      </c>
      <c r="X19">
        <f>_xll.BDP("ORA FP Equity","SR480")</f>
        <v>5.657689094543457</v>
      </c>
      <c r="Y19">
        <f>_xll.BDP("ORA FP Equity","SR477")</f>
        <v>5.3787164688110352</v>
      </c>
    </row>
    <row r="20" spans="1:25" x14ac:dyDescent="0.25">
      <c r="A20" t="s">
        <v>53</v>
      </c>
      <c r="B20" t="str">
        <f>_xll.BDP("EAND UH Equity","DS192")</f>
        <v>ETISALAT</v>
      </c>
      <c r="C20">
        <f>_xll.BDP("EAND UH Equity","RR910","DS215=USD","DY339=UNIT")</f>
        <v>46642180887.319</v>
      </c>
      <c r="D20" t="str">
        <f>_xll.BDP("EAND UH Equity","DX129")</f>
        <v>AE</v>
      </c>
      <c r="F20">
        <f>_xll.BDP("EAND UH Equity","ST058")</f>
        <v>39.1</v>
      </c>
      <c r="G20">
        <f>_xll.BDP("EAND UH Equity","SR468")</f>
        <v>34.1</v>
      </c>
      <c r="I20">
        <f>_xll.BDP("EAND UH Equity","SR001")</f>
        <v>3.2100000381469727</v>
      </c>
      <c r="J20">
        <f>_xll.BDP("EAND UH Equity","SR002")</f>
        <v>2.3600468635559082</v>
      </c>
      <c r="K20">
        <f>_xll.BDP("EAND UH Equity","SR267")</f>
        <v>0.58823531866073608</v>
      </c>
      <c r="L20" t="s">
        <v>43</v>
      </c>
      <c r="N20">
        <f>_xll.BDP("EAND UH Equity","SR238")</f>
        <v>0</v>
      </c>
      <c r="O20">
        <f>_xll.BDP("EAND UH Equity","SR205")</f>
        <v>3.3551342487335205</v>
      </c>
      <c r="P20">
        <f>_xll.BDP("EAND UH Equity","SR211")</f>
        <v>10</v>
      </c>
      <c r="Q20">
        <f>_xll.BDP("EAND UH Equity","SR235")</f>
        <v>10</v>
      </c>
      <c r="S20">
        <f>_xll.BDP("EAND UH Equity","SR259")</f>
        <v>0</v>
      </c>
      <c r="T20">
        <f>_xll.BDP("EAND UH Equity","SR263")</f>
        <v>0.80000001192092896</v>
      </c>
      <c r="U20" t="s">
        <v>22</v>
      </c>
      <c r="V20" t="s">
        <v>44</v>
      </c>
      <c r="X20">
        <f>_xll.BDP("EAND UH Equity","SR480")</f>
        <v>0</v>
      </c>
      <c r="Y20">
        <f>_xll.BDP("EAND UH Equity","SR477")</f>
        <v>1.5927231311798096</v>
      </c>
    </row>
    <row r="21" spans="1:25" x14ac:dyDescent="0.25">
      <c r="A21" t="s">
        <v>54</v>
      </c>
      <c r="B21" t="str">
        <f>_xll.BDP("SCMN SW Equity","DS192")</f>
        <v>SWISSCOM AG-REG</v>
      </c>
      <c r="C21">
        <f>_xll.BDP("SCMN SW Equity","RR910","DS215=USD","DY339=UNIT")</f>
        <v>44307304427.993782</v>
      </c>
      <c r="D21" t="str">
        <f>_xll.BDP("SCMN SW Equity","DX129")</f>
        <v>CH</v>
      </c>
      <c r="F21">
        <f>_xll.BDP("SCMN SW Equity","ST058")</f>
        <v>91.2</v>
      </c>
      <c r="G21">
        <f>_xll.BDP("SCMN SW Equity","SR468")</f>
        <v>74.7</v>
      </c>
      <c r="I21">
        <f>_xll.BDP("SCMN SW Equity","SR001")</f>
        <v>5.4899997711181641</v>
      </c>
      <c r="J21">
        <f>_xll.BDP("SCMN SW Equity","SR002")</f>
        <v>4.5233073234558105</v>
      </c>
      <c r="K21">
        <f>_xll.BDP("SCMN SW Equity","SR267")</f>
        <v>0.73529410362243652</v>
      </c>
      <c r="L21" t="s">
        <v>40</v>
      </c>
      <c r="N21">
        <f>_xll.BDP("SCMN SW Equity","SR238")</f>
        <v>0</v>
      </c>
      <c r="O21">
        <f>_xll.BDP("SCMN SW Equity","SR205")</f>
        <v>9.1815624237060547</v>
      </c>
      <c r="P21">
        <f>_xll.BDP("SCMN SW Equity","SR211")</f>
        <v>10</v>
      </c>
      <c r="Q21">
        <f>_xll.BDP("SCMN SW Equity","SR235")</f>
        <v>3.6583123207092285</v>
      </c>
      <c r="S21">
        <f>_xll.BDP("SCMN SW Equity","SR259")</f>
        <v>0</v>
      </c>
      <c r="T21">
        <f>_xll.BDP("SCMN SW Equity","SR263")</f>
        <v>1</v>
      </c>
      <c r="U21" t="s">
        <v>22</v>
      </c>
      <c r="V21" t="s">
        <v>31</v>
      </c>
      <c r="X21">
        <f>_xll.BDP("SCMN SW Equity","SR480")</f>
        <v>0</v>
      </c>
      <c r="Y21">
        <f>_xll.BDP("SCMN SW Equity","SR477")</f>
        <v>8.8405466079711914</v>
      </c>
    </row>
    <row r="22" spans="1:25" x14ac:dyDescent="0.25">
      <c r="A22" t="s">
        <v>55</v>
      </c>
      <c r="B22" t="str">
        <f>_xll.BDP("TLS AU Equity","DS192")</f>
        <v>TELSTRA GROUP LT</v>
      </c>
      <c r="C22">
        <f>_xll.BDP("TLS AU Equity","RR910","DS215=USD","DY339=UNIT")</f>
        <v>43064092505.655327</v>
      </c>
      <c r="D22" t="str">
        <f>_xll.BDP("TLS AU Equity","DX129")</f>
        <v>AU</v>
      </c>
      <c r="F22">
        <f>_xll.BDP("TLS AU Equity","ST058")</f>
        <v>70.900000000000006</v>
      </c>
      <c r="G22">
        <f>_xll.BDP("TLS AU Equity","SR468")</f>
        <v>72.900000000000006</v>
      </c>
      <c r="I22">
        <f>_xll.BDP("TLS AU Equity","SR001")</f>
        <v>4.3600001335144043</v>
      </c>
      <c r="J22">
        <f>_xll.BDP("TLS AU Equity","SR002")</f>
        <v>4.4868693351745605</v>
      </c>
      <c r="K22">
        <f>_xll.BDP("TLS AU Equity","SR267")</f>
        <v>0.64705884456634521</v>
      </c>
      <c r="L22" t="s">
        <v>56</v>
      </c>
      <c r="N22">
        <f>_xll.BDP("TLS AU Equity","SR238")</f>
        <v>4.5655474662780762</v>
      </c>
      <c r="O22">
        <f>_xll.BDP("TLS AU Equity","SR205")</f>
        <v>4.0403060913085938</v>
      </c>
      <c r="P22">
        <f>_xll.BDP("TLS AU Equity","SR211")</f>
        <v>10</v>
      </c>
      <c r="Q22">
        <f>_xll.BDP("TLS AU Equity","SR235")</f>
        <v>1.9747449159622192</v>
      </c>
      <c r="S22">
        <f>_xll.BDP("TLS AU Equity","SR259")</f>
        <v>0.2222222238779068</v>
      </c>
      <c r="T22">
        <f>_xll.BDP("TLS AU Equity","SR263")</f>
        <v>0.80000001192092896</v>
      </c>
      <c r="U22" t="s">
        <v>30</v>
      </c>
      <c r="V22" t="s">
        <v>44</v>
      </c>
      <c r="X22">
        <f>_xll.BDP("TLS AU Equity","SR480")</f>
        <v>7.0876131057739258</v>
      </c>
      <c r="Y22">
        <f>_xll.BDP("TLS AU Equity","SR477")</f>
        <v>2.5681121349334717</v>
      </c>
    </row>
    <row r="23" spans="1:25" x14ac:dyDescent="0.25">
      <c r="A23" t="s">
        <v>57</v>
      </c>
      <c r="B23" t="str">
        <f>_xll.BDP("VOD LN Equity","DS192")</f>
        <v>VODAFONE GROUP</v>
      </c>
      <c r="C23">
        <f>_xll.BDP("VOD LN Equity","RR910","DS215=USD","DY339=UNIT")</f>
        <v>36471715229.647415</v>
      </c>
      <c r="D23" t="str">
        <f>_xll.BDP("VOD LN Equity","DX129")</f>
        <v>GB</v>
      </c>
      <c r="F23">
        <f>_xll.BDP("VOD LN Equity","ST058")</f>
        <v>84.7</v>
      </c>
      <c r="G23">
        <f>_xll.BDP("VOD LN Equity","SR468")</f>
        <v>87.1</v>
      </c>
      <c r="I23">
        <f>_xll.BDP("VOD LN Equity","SR001")</f>
        <v>4.9699997901916504</v>
      </c>
      <c r="J23">
        <f>_xll.BDP("VOD LN Equity","SR002")</f>
        <v>5.9162211418151855</v>
      </c>
      <c r="K23">
        <f>_xll.BDP("VOD LN Equity","SR267")</f>
        <v>0.73529410362243652</v>
      </c>
      <c r="L23" t="s">
        <v>40</v>
      </c>
      <c r="N23">
        <f>_xll.BDP("VOD LN Equity","SR238")</f>
        <v>3</v>
      </c>
      <c r="O23">
        <f>_xll.BDP("VOD LN Equity","SR205")</f>
        <v>8.1292610168457031</v>
      </c>
      <c r="P23">
        <f>_xll.BDP("VOD LN Equity","SR211")</f>
        <v>10</v>
      </c>
      <c r="Q23">
        <f>_xll.BDP("VOD LN Equity","SR235")</f>
        <v>3.6583123207092285</v>
      </c>
      <c r="S23">
        <f>_xll.BDP("VOD LN Equity","SR259")</f>
        <v>0</v>
      </c>
      <c r="T23">
        <f>_xll.BDP("VOD LN Equity","SR263")</f>
        <v>1</v>
      </c>
      <c r="U23" t="s">
        <v>22</v>
      </c>
      <c r="V23" t="s">
        <v>31</v>
      </c>
      <c r="X23">
        <f>_xll.BDP("VOD LN Equity","SR480")</f>
        <v>10</v>
      </c>
      <c r="Y23">
        <f>_xll.BDP("VOD LN Equity","SR477")</f>
        <v>7.3497867584228516</v>
      </c>
    </row>
    <row r="24" spans="1:25" x14ac:dyDescent="0.25">
      <c r="A24" t="s">
        <v>58</v>
      </c>
      <c r="B24" t="str">
        <f>_xll.BDP("CHTR US Equity","DS192")</f>
        <v>CHARTER COMMUN-A</v>
      </c>
      <c r="C24">
        <f>_xll.BDP("CHTR US Equity","RR910","DS215=USD","DY339=UNIT")</f>
        <v>34496922671.399994</v>
      </c>
      <c r="D24" t="str">
        <f>_xll.BDP("CHTR US Equity","DX129")</f>
        <v>US</v>
      </c>
      <c r="F24">
        <f>_xll.BDP("CHTR US Equity","ST058")</f>
        <v>55.9</v>
      </c>
      <c r="G24">
        <f>_xll.BDP("CHTR US Equity","SR468")</f>
        <v>52.9</v>
      </c>
      <c r="I24">
        <f>_xll.BDP("CHTR US Equity","SR001")</f>
        <v>3.8900001049041748</v>
      </c>
      <c r="J24">
        <f>_xll.BDP("CHTR US Equity","SR002")</f>
        <v>3.2111756801605225</v>
      </c>
      <c r="K24">
        <f>_xll.BDP("CHTR US Equity","SR267")</f>
        <v>0</v>
      </c>
      <c r="L24" t="s">
        <v>22</v>
      </c>
      <c r="N24">
        <f>_xll.BDP("CHTR US Equity","SR238")</f>
        <v>3</v>
      </c>
      <c r="O24">
        <f>_xll.BDP("CHTR US Equity","SR205")</f>
        <v>3</v>
      </c>
      <c r="P24">
        <f>_xll.BDP("CHTR US Equity","SR211")</f>
        <v>10</v>
      </c>
      <c r="Q24">
        <f>_xll.BDP("CHTR US Equity","SR235")</f>
        <v>0</v>
      </c>
      <c r="S24">
        <f>_xll.BDP("CHTR US Equity","SR259")</f>
        <v>0</v>
      </c>
      <c r="T24">
        <f>_xll.BDP("CHTR US Equity","SR263")</f>
        <v>0</v>
      </c>
      <c r="U24" t="s">
        <v>22</v>
      </c>
      <c r="V24" t="s">
        <v>22</v>
      </c>
      <c r="X24">
        <f>_xll.BDP("CHTR US Equity","SR480")</f>
        <v>10</v>
      </c>
      <c r="Y24">
        <f>_xll.BDP("CHTR US Equity","SR477")</f>
        <v>10</v>
      </c>
    </row>
    <row r="25" spans="1:25" x14ac:dyDescent="0.25">
      <c r="A25" t="s">
        <v>59</v>
      </c>
      <c r="B25" t="str">
        <f>_xll.BDP("ADVANC TB Equity","DS192")</f>
        <v>ADVANCED INFO</v>
      </c>
      <c r="C25">
        <f>_xll.BDP("ADVANC TB Equity","RR910","DS215=USD","DY339=UNIT")</f>
        <v>33452258547.383934</v>
      </c>
      <c r="D25" t="str">
        <f>_xll.BDP("ADVANC TB Equity","DX129")</f>
        <v>TH</v>
      </c>
      <c r="F25">
        <f>_xll.BDP("ADVANC TB Equity","ST058")</f>
        <v>67.400000000000006</v>
      </c>
      <c r="G25">
        <f>_xll.BDP("ADVANC TB Equity","SR468")</f>
        <v>62.9</v>
      </c>
      <c r="I25">
        <f>_xll.BDP("ADVANC TB Equity","SR001")</f>
        <v>4.2699999809265137</v>
      </c>
      <c r="J25">
        <f>_xll.BDP("ADVANC TB Equity","SR002")</f>
        <v>3.9466822147369385</v>
      </c>
      <c r="K25">
        <f>_xll.BDP("ADVANC TB Equity","SR267")</f>
        <v>0.94117647409439087</v>
      </c>
      <c r="L25" t="s">
        <v>51</v>
      </c>
      <c r="N25">
        <f>_xll.BDP("ADVANC TB Equity","SR238")</f>
        <v>4.6709518432617188</v>
      </c>
      <c r="O25">
        <f>_xll.BDP("ADVANC TB Equity","SR205")</f>
        <v>2.6080875396728516</v>
      </c>
      <c r="P25">
        <f>_xll.BDP("ADVANC TB Equity","SR211")</f>
        <v>10</v>
      </c>
      <c r="Q25">
        <f>_xll.BDP("ADVANC TB Equity","SR235")</f>
        <v>7.3120193481445313</v>
      </c>
      <c r="S25">
        <f>_xll.BDP("ADVANC TB Equity","SR259")</f>
        <v>0.77777779102325439</v>
      </c>
      <c r="T25">
        <f>_xll.BDP("ADVANC TB Equity","SR263")</f>
        <v>1</v>
      </c>
      <c r="U25" t="s">
        <v>52</v>
      </c>
      <c r="V25" t="s">
        <v>31</v>
      </c>
      <c r="X25">
        <f>_xll.BDP("ADVANC TB Equity","SR480")</f>
        <v>3.5811998844146729</v>
      </c>
      <c r="Y25">
        <f>_xll.BDP("ADVANC TB Equity","SR477")</f>
        <v>0.97803282737731934</v>
      </c>
    </row>
    <row r="26" spans="1:25" x14ac:dyDescent="0.25">
      <c r="A26" t="s">
        <v>60</v>
      </c>
      <c r="B26" t="str">
        <f>_xll.BDP("2412 TT Equity","DS192")</f>
        <v>CHUNGHWA TELECOM</v>
      </c>
      <c r="C26">
        <f>_xll.BDP("2412 TT Equity","RR910","DS215=USD","DY339=UNIT")</f>
        <v>32821937614.469395</v>
      </c>
      <c r="D26" t="str">
        <f>_xll.BDP("2412 TT Equity","DX129")</f>
        <v>TW</v>
      </c>
      <c r="F26">
        <f>_xll.BDP("2412 TT Equity","ST058")</f>
        <v>92.4</v>
      </c>
      <c r="G26">
        <f>_xll.BDP("2412 TT Equity","SR468")</f>
        <v>78.2</v>
      </c>
      <c r="I26">
        <f>_xll.BDP("2412 TT Equity","SR001")</f>
        <v>5.559999942779541</v>
      </c>
      <c r="J26">
        <f>_xll.BDP("2412 TT Equity","SR002")</f>
        <v>4.9077467918395996</v>
      </c>
      <c r="K26">
        <f>_xll.BDP("2412 TT Equity","SR267")</f>
        <v>1</v>
      </c>
      <c r="L26" t="s">
        <v>31</v>
      </c>
      <c r="N26">
        <f>_xll.BDP("2412 TT Equity","SR238")</f>
        <v>5.4766678810119629</v>
      </c>
      <c r="O26">
        <f>_xll.BDP("2412 TT Equity","SR205")</f>
        <v>4.0464305877685547</v>
      </c>
      <c r="P26">
        <f>_xll.BDP("2412 TT Equity","SR211")</f>
        <v>10</v>
      </c>
      <c r="Q26">
        <f>_xll.BDP("2412 TT Equity","SR235")</f>
        <v>3.6583123207092285</v>
      </c>
      <c r="S26">
        <f>_xll.BDP("2412 TT Equity","SR259")</f>
        <v>1</v>
      </c>
      <c r="T26">
        <f>_xll.BDP("2412 TT Equity","SR263")</f>
        <v>1</v>
      </c>
      <c r="U26" t="s">
        <v>31</v>
      </c>
      <c r="V26" t="s">
        <v>31</v>
      </c>
      <c r="X26">
        <f>_xll.BDP("2412 TT Equity","SR480")</f>
        <v>3.5919458866119385</v>
      </c>
      <c r="Y26">
        <f>_xll.BDP("2412 TT Equity","SR477")</f>
        <v>1.5657764673233032</v>
      </c>
    </row>
    <row r="27" spans="1:25" x14ac:dyDescent="0.25">
      <c r="A27" t="s">
        <v>61</v>
      </c>
      <c r="B27" t="str">
        <f>_xll.BDP("BT/A LN Equity","DS192")</f>
        <v>BT GROUP PLC</v>
      </c>
      <c r="C27">
        <f>_xll.BDP("BT/A LN Equity","RR910","DS215=USD","DY339=UNIT")</f>
        <v>28838908293.94352</v>
      </c>
      <c r="D27" t="str">
        <f>_xll.BDP("BT/A LN Equity","DX129")</f>
        <v>GB</v>
      </c>
      <c r="F27">
        <f>_xll.BDP("BT/A LN Equity","ST058")</f>
        <v>97.6</v>
      </c>
      <c r="G27">
        <f>_xll.BDP("BT/A LN Equity","SR468")</f>
        <v>99.4</v>
      </c>
      <c r="I27">
        <f>_xll.BDP("BT/A LN Equity","SR001")</f>
        <v>6.1100001335144043</v>
      </c>
      <c r="J27">
        <f>_xll.BDP("BT/A LN Equity","SR002")</f>
        <v>7.7895650863647461</v>
      </c>
      <c r="K27">
        <f>_xll.BDP("BT/A LN Equity","SR267")</f>
        <v>0.94117647409439087</v>
      </c>
      <c r="L27" t="s">
        <v>51</v>
      </c>
      <c r="N27">
        <f>_xll.BDP("BT/A LN Equity","SR238")</f>
        <v>7.0155858993530273</v>
      </c>
      <c r="O27">
        <f>_xll.BDP("BT/A LN Equity","SR205")</f>
        <v>8.482670783996582</v>
      </c>
      <c r="P27">
        <f>_xll.BDP("BT/A LN Equity","SR211")</f>
        <v>10</v>
      </c>
      <c r="Q27">
        <f>_xll.BDP("BT/A LN Equity","SR235")</f>
        <v>3.6583123207092285</v>
      </c>
      <c r="S27">
        <f>_xll.BDP("BT/A LN Equity","SR259")</f>
        <v>0.77777779102325439</v>
      </c>
      <c r="T27">
        <f>_xll.BDP("BT/A LN Equity","SR263")</f>
        <v>1</v>
      </c>
      <c r="U27" t="s">
        <v>52</v>
      </c>
      <c r="V27" t="s">
        <v>31</v>
      </c>
      <c r="X27">
        <f>_xll.BDP("BT/A LN Equity","SR480")</f>
        <v>6.9237914085388184</v>
      </c>
      <c r="Y27">
        <f>_xll.BDP("BT/A LN Equity","SR477")</f>
        <v>7.8504500389099121</v>
      </c>
    </row>
    <row r="28" spans="1:25" x14ac:dyDescent="0.25">
      <c r="A28" t="s">
        <v>62</v>
      </c>
      <c r="B28" t="str">
        <f>_xll.BDP("762 HK Equity","DS192")</f>
        <v>CHINA UNICOM</v>
      </c>
      <c r="C28">
        <f>_xll.BDP("762 HK Equity","RR910","DS215=USD","DY339=UNIT")</f>
        <v>28244783640.877525</v>
      </c>
      <c r="D28" t="str">
        <f>_xll.BDP("762 HK Equity","DX129")</f>
        <v>CN</v>
      </c>
      <c r="F28">
        <f>_xll.BDP("762 HK Equity","ST058")</f>
        <v>28.2</v>
      </c>
      <c r="G28">
        <f>_xll.BDP("762 HK Equity","SR468")</f>
        <v>15.9</v>
      </c>
      <c r="I28">
        <f>_xll.BDP("762 HK Equity","SR001")</f>
        <v>2.880000114440918</v>
      </c>
      <c r="J28">
        <f>_xll.BDP("762 HK Equity","SR002")</f>
        <v>1.1365017890930176</v>
      </c>
      <c r="K28">
        <f>_xll.BDP("762 HK Equity","SR267")</f>
        <v>0.44117647409439087</v>
      </c>
      <c r="L28" t="s">
        <v>26</v>
      </c>
      <c r="N28">
        <f>_xll.BDP("762 HK Equity","SR238")</f>
        <v>0</v>
      </c>
      <c r="O28">
        <f>_xll.BDP("762 HK Equity","SR205")</f>
        <v>1.45290207862854</v>
      </c>
      <c r="P28">
        <f>_xll.BDP("762 HK Equity","SR211")</f>
        <v>10</v>
      </c>
      <c r="Q28">
        <f>_xll.BDP("762 HK Equity","SR235")</f>
        <v>0</v>
      </c>
      <c r="S28">
        <f>_xll.BDP("762 HK Equity","SR259")</f>
        <v>0</v>
      </c>
      <c r="T28">
        <f>_xll.BDP("762 HK Equity","SR263")</f>
        <v>0.60000002384185791</v>
      </c>
      <c r="U28" t="s">
        <v>22</v>
      </c>
      <c r="V28" t="s">
        <v>27</v>
      </c>
      <c r="X28">
        <f>_xll.BDP("762 HK Equity","SR480")</f>
        <v>0</v>
      </c>
      <c r="Y28">
        <f>_xll.BDP("762 HK Equity","SR477")</f>
        <v>0.84471046924591064</v>
      </c>
    </row>
    <row r="29" spans="1:25" x14ac:dyDescent="0.25">
      <c r="A29" t="s">
        <v>63</v>
      </c>
      <c r="B29" t="str">
        <f>_xll.BDP("VIVT3 BZ Equity","DS192")</f>
        <v>TELEF BRASIL</v>
      </c>
      <c r="C29">
        <f>_xll.BDP("VIVT3 BZ Equity","RR910","DS215=USD","DY339=UNIT")</f>
        <v>27367785983.348412</v>
      </c>
      <c r="D29" t="str">
        <f>_xll.BDP("VIVT3 BZ Equity","DX129")</f>
        <v>BR</v>
      </c>
      <c r="F29">
        <f>_xll.BDP("VIVT3 BZ Equity","ST058")</f>
        <v>100</v>
      </c>
      <c r="G29">
        <f>_xll.BDP("VIVT3 BZ Equity","SR468")</f>
        <v>98.2</v>
      </c>
      <c r="I29">
        <f>_xll.BDP("VIVT3 BZ Equity","SR001")</f>
        <v>7.2300000190734863</v>
      </c>
      <c r="J29">
        <f>_xll.BDP("VIVT3 BZ Equity","SR002")</f>
        <v>7.0024576187133789</v>
      </c>
      <c r="K29">
        <f>_xll.BDP("VIVT3 BZ Equity","SR267")</f>
        <v>1</v>
      </c>
      <c r="L29" t="s">
        <v>31</v>
      </c>
      <c r="N29">
        <f>_xll.BDP("VIVT3 BZ Equity","SR238")</f>
        <v>4.9184327125549316</v>
      </c>
      <c r="O29">
        <f>_xll.BDP("VIVT3 BZ Equity","SR205")</f>
        <v>8.6066560745239258</v>
      </c>
      <c r="P29">
        <f>_xll.BDP("VIVT3 BZ Equity","SR211")</f>
        <v>10</v>
      </c>
      <c r="Q29">
        <f>_xll.BDP("VIVT3 BZ Equity","SR235")</f>
        <v>3.6583123207092285</v>
      </c>
      <c r="S29">
        <f>_xll.BDP("VIVT3 BZ Equity","SR259")</f>
        <v>1</v>
      </c>
      <c r="T29">
        <f>_xll.BDP("VIVT3 BZ Equity","SR263")</f>
        <v>1</v>
      </c>
      <c r="U29" t="s">
        <v>31</v>
      </c>
      <c r="V29" t="s">
        <v>31</v>
      </c>
      <c r="X29">
        <f>_xll.BDP("VIVT3 BZ Equity","SR480")</f>
        <v>2.8011128902435303</v>
      </c>
      <c r="Y29">
        <f>_xll.BDP("VIVT3 BZ Equity","SR477")</f>
        <v>8.0260963439941406</v>
      </c>
    </row>
    <row r="30" spans="1:25" x14ac:dyDescent="0.25">
      <c r="A30" t="s">
        <v>64</v>
      </c>
      <c r="B30" t="str">
        <f>_xll.BDP("TEF SM Equity","DS192")</f>
        <v>TELEFONICA</v>
      </c>
      <c r="C30">
        <f>_xll.BDP("TEF SM Equity","RR910","DS215=USD","DY339=UNIT")</f>
        <v>25466475394.674934</v>
      </c>
      <c r="D30" t="str">
        <f>_xll.BDP("TEF SM Equity","DX129")</f>
        <v>ES</v>
      </c>
      <c r="F30">
        <f>_xll.BDP("TEF SM Equity","ST058")</f>
        <v>98.2</v>
      </c>
      <c r="G30">
        <f>_xll.BDP("TEF SM Equity","SR468")</f>
        <v>83.5</v>
      </c>
      <c r="I30">
        <f>_xll.BDP("TEF SM Equity","SR001")</f>
        <v>6.119999885559082</v>
      </c>
      <c r="J30">
        <f>_xll.BDP("TEF SM Equity","SR002")</f>
        <v>5.5320305824279785</v>
      </c>
      <c r="K30">
        <f>_xll.BDP("TEF SM Equity","SR267")</f>
        <v>0.79411762952804565</v>
      </c>
      <c r="L30" t="s">
        <v>29</v>
      </c>
      <c r="N30">
        <f>_xll.BDP("TEF SM Equity","SR238")</f>
        <v>2.2673118114471436</v>
      </c>
      <c r="O30">
        <f>_xll.BDP("TEF SM Equity","SR205")</f>
        <v>8.0885562896728516</v>
      </c>
      <c r="P30">
        <f>_xll.BDP("TEF SM Equity","SR211")</f>
        <v>10</v>
      </c>
      <c r="Q30">
        <f>_xll.BDP("TEF SM Equity","SR235")</f>
        <v>3.6583123207092285</v>
      </c>
      <c r="S30">
        <f>_xll.BDP("TEF SM Equity","SR259")</f>
        <v>0.2222222238779068</v>
      </c>
      <c r="T30">
        <f>_xll.BDP("TEF SM Equity","SR263")</f>
        <v>1</v>
      </c>
      <c r="U30" t="s">
        <v>30</v>
      </c>
      <c r="V30" t="s">
        <v>31</v>
      </c>
      <c r="X30">
        <f>_xll.BDP("TEF SM Equity","SR480")</f>
        <v>3.2273879051208496</v>
      </c>
      <c r="Y30">
        <f>_xll.BDP("TEF SM Equity","SR477")</f>
        <v>7.292121410369873</v>
      </c>
    </row>
    <row r="31" spans="1:25" x14ac:dyDescent="0.25">
      <c r="A31" t="s">
        <v>65</v>
      </c>
      <c r="B31" t="str">
        <f>_xll.BDP("TEL NO Equity","DS192")</f>
        <v>TELENOR ASA</v>
      </c>
      <c r="C31">
        <f>_xll.BDP("TEL NO Equity","RR910","DS215=USD","DY339=UNIT")</f>
        <v>24290746875.945625</v>
      </c>
      <c r="D31" t="str">
        <f>_xll.BDP("TEL NO Equity","DX129")</f>
        <v>NO</v>
      </c>
      <c r="F31">
        <f>_xll.BDP("TEL NO Equity","ST058")</f>
        <v>68.8</v>
      </c>
      <c r="G31">
        <f>_xll.BDP("TEL NO Equity","SR468")</f>
        <v>77.099999999999994</v>
      </c>
      <c r="I31">
        <f>_xll.BDP("TEL NO Equity","SR001")</f>
        <v>4.3299999237060547</v>
      </c>
      <c r="J31">
        <f>_xll.BDP("TEL NO Equity","SR002")</f>
        <v>4.6121969223022461</v>
      </c>
      <c r="K31">
        <f>_xll.BDP("TEL NO Equity","SR267")</f>
        <v>0.85294115543365479</v>
      </c>
      <c r="L31" t="s">
        <v>66</v>
      </c>
      <c r="N31">
        <f>_xll.BDP("TEL NO Equity","SR238")</f>
        <v>2.2388417720794678</v>
      </c>
      <c r="O31">
        <f>_xll.BDP("TEL NO Equity","SR205")</f>
        <v>6.0637378692626953</v>
      </c>
      <c r="P31">
        <f>_xll.BDP("TEL NO Equity","SR211")</f>
        <v>10</v>
      </c>
      <c r="Q31">
        <f>_xll.BDP("TEL NO Equity","SR235")</f>
        <v>3.6583123207092285</v>
      </c>
      <c r="S31">
        <f>_xll.BDP("TEL NO Equity","SR259")</f>
        <v>0.4444444477558136</v>
      </c>
      <c r="T31">
        <f>_xll.BDP("TEL NO Equity","SR263")</f>
        <v>1</v>
      </c>
      <c r="U31" t="s">
        <v>26</v>
      </c>
      <c r="V31" t="s">
        <v>31</v>
      </c>
      <c r="X31">
        <f>_xll.BDP("TEL NO Equity","SR480")</f>
        <v>1.8181678056716919</v>
      </c>
      <c r="Y31">
        <f>_xll.BDP("TEL NO Equity","SR477")</f>
        <v>4.4236283302307129</v>
      </c>
    </row>
    <row r="32" spans="1:25" x14ac:dyDescent="0.25">
      <c r="A32" t="s">
        <v>67</v>
      </c>
      <c r="B32" t="str">
        <f>_xll.BDP("MTN SJ Equity","DS192")</f>
        <v>MTN GROUP LTD</v>
      </c>
      <c r="C32">
        <f>_xll.BDP("MTN SJ Equity","RR910","DS215=USD","DY339=UNIT")</f>
        <v>22596817439.458759</v>
      </c>
      <c r="D32" t="str">
        <f>_xll.BDP("MTN SJ Equity","DX129")</f>
        <v>ZA</v>
      </c>
      <c r="F32">
        <f>_xll.BDP("MTN SJ Equity","ST058")</f>
        <v>61.2</v>
      </c>
      <c r="G32">
        <f>_xll.BDP("MTN SJ Equity","SR468")</f>
        <v>56.5</v>
      </c>
      <c r="I32">
        <f>_xll.BDP("MTN SJ Equity","SR001")</f>
        <v>4.0100002288818359</v>
      </c>
      <c r="J32">
        <f>_xll.BDP("MTN SJ Equity","SR002")</f>
        <v>3.4274446964263916</v>
      </c>
      <c r="K32">
        <f>_xll.BDP("MTN SJ Equity","SR267")</f>
        <v>0.44117647409439087</v>
      </c>
      <c r="L32" t="s">
        <v>26</v>
      </c>
      <c r="N32">
        <f>_xll.BDP("MTN SJ Equity","SR238")</f>
        <v>0</v>
      </c>
      <c r="O32">
        <f>_xll.BDP("MTN SJ Equity","SR205")</f>
        <v>6.9150052070617676</v>
      </c>
      <c r="P32">
        <f>_xll.BDP("MTN SJ Equity","SR211")</f>
        <v>10</v>
      </c>
      <c r="Q32">
        <f>_xll.BDP("MTN SJ Equity","SR235")</f>
        <v>0</v>
      </c>
      <c r="S32">
        <f>_xll.BDP("MTN SJ Equity","SR259")</f>
        <v>0</v>
      </c>
      <c r="T32">
        <f>_xll.BDP("MTN SJ Equity","SR263")</f>
        <v>0.60000002384185791</v>
      </c>
      <c r="U32" t="s">
        <v>22</v>
      </c>
      <c r="V32" t="s">
        <v>27</v>
      </c>
      <c r="X32">
        <f>_xll.BDP("MTN SJ Equity","SR480")</f>
        <v>0</v>
      </c>
      <c r="Y32">
        <f>_xll.BDP("MTN SJ Equity","SR477")</f>
        <v>7.8073630332946777</v>
      </c>
    </row>
    <row r="33" spans="1:25" x14ac:dyDescent="0.25">
      <c r="A33" t="s">
        <v>68</v>
      </c>
      <c r="B33" t="str">
        <f>_xll.BDP("BCE CN Equity","DS192")</f>
        <v>BCE INC</v>
      </c>
      <c r="C33">
        <f>_xll.BDP("BCE CN Equity","RR910","DS215=USD","DY339=UNIT")</f>
        <v>21728888291.791134</v>
      </c>
      <c r="D33" t="str">
        <f>_xll.BDP("BCE CN Equity","DX129")</f>
        <v>CA</v>
      </c>
      <c r="F33">
        <f>_xll.BDP("BCE CN Equity","ST058")</f>
        <v>88.2</v>
      </c>
      <c r="G33">
        <f>_xll.BDP("BCE CN Equity","SR468")</f>
        <v>97.6</v>
      </c>
      <c r="I33">
        <f>_xll.BDP("BCE CN Equity","SR001")</f>
        <v>5.1599998474121094</v>
      </c>
      <c r="J33">
        <f>_xll.BDP("BCE CN Equity","SR002")</f>
        <v>6.9150576591491699</v>
      </c>
      <c r="K33">
        <f>_xll.BDP("BCE CN Equity","SR267")</f>
        <v>0.79411762952804565</v>
      </c>
      <c r="L33" t="s">
        <v>29</v>
      </c>
      <c r="N33">
        <f>_xll.BDP("BCE CN Equity","SR238")</f>
        <v>5.057802677154541</v>
      </c>
      <c r="O33">
        <f>_xll.BDP("BCE CN Equity","SR205")</f>
        <v>8.2970380783081055</v>
      </c>
      <c r="P33">
        <f>_xll.BDP("BCE CN Equity","SR211")</f>
        <v>10</v>
      </c>
      <c r="Q33">
        <f>_xll.BDP("BCE CN Equity","SR235")</f>
        <v>3.6583123207092285</v>
      </c>
      <c r="S33">
        <f>_xll.BDP("BCE CN Equity","SR259")</f>
        <v>0.2222222238779068</v>
      </c>
      <c r="T33">
        <f>_xll.BDP("BCE CN Equity","SR263")</f>
        <v>1</v>
      </c>
      <c r="U33" t="s">
        <v>30</v>
      </c>
      <c r="V33" t="s">
        <v>31</v>
      </c>
      <c r="X33">
        <f>_xll.BDP("BCE CN Equity","SR480")</f>
        <v>7.9144282341003418</v>
      </c>
      <c r="Y33">
        <f>_xll.BDP("BCE CN Equity","SR477")</f>
        <v>7.5874700546264648</v>
      </c>
    </row>
    <row r="34" spans="1:25" x14ac:dyDescent="0.25">
      <c r="A34" t="s">
        <v>69</v>
      </c>
      <c r="B34" t="str">
        <f>_xll.BDP("KPN NA Equity","DS192")</f>
        <v>KPN (KONIN) NV</v>
      </c>
      <c r="C34">
        <f>_xll.BDP("KPN NA Equity","RR910","DS215=USD","DY339=UNIT")</f>
        <v>21578516610.501987</v>
      </c>
      <c r="D34" t="str">
        <f>_xll.BDP("KPN NA Equity","DX129")</f>
        <v>NL</v>
      </c>
      <c r="F34">
        <f>_xll.BDP("KPN NA Equity","ST058")</f>
        <v>80.599999999999994</v>
      </c>
      <c r="G34">
        <f>_xll.BDP("KPN NA Equity","SR468")</f>
        <v>73.5</v>
      </c>
      <c r="I34">
        <f>_xll.BDP("KPN NA Equity","SR001")</f>
        <v>4.8000001907348633</v>
      </c>
      <c r="J34">
        <f>_xll.BDP("KPN NA Equity","SR002")</f>
        <v>4.5115165710449219</v>
      </c>
      <c r="K34">
        <f>_xll.BDP("KPN NA Equity","SR267")</f>
        <v>0.73529410362243652</v>
      </c>
      <c r="L34" t="s">
        <v>40</v>
      </c>
      <c r="N34">
        <f>_xll.BDP("KPN NA Equity","SR238")</f>
        <v>0</v>
      </c>
      <c r="O34">
        <f>_xll.BDP("KPN NA Equity","SR205")</f>
        <v>9.1504936218261719</v>
      </c>
      <c r="P34">
        <f>_xll.BDP("KPN NA Equity","SR211")</f>
        <v>10</v>
      </c>
      <c r="Q34">
        <f>_xll.BDP("KPN NA Equity","SR235")</f>
        <v>3.6583123207092285</v>
      </c>
      <c r="S34">
        <f>_xll.BDP("KPN NA Equity","SR259")</f>
        <v>0</v>
      </c>
      <c r="T34">
        <f>_xll.BDP("KPN NA Equity","SR263")</f>
        <v>1</v>
      </c>
      <c r="U34" t="s">
        <v>22</v>
      </c>
      <c r="V34" t="s">
        <v>31</v>
      </c>
      <c r="X34">
        <f>_xll.BDP("KPN NA Equity","SR480")</f>
        <v>0</v>
      </c>
      <c r="Y34">
        <f>_xll.BDP("KPN NA Equity","SR477")</f>
        <v>8.7965316772460938</v>
      </c>
    </row>
    <row r="35" spans="1:25" x14ac:dyDescent="0.25">
      <c r="A35" t="s">
        <v>70</v>
      </c>
      <c r="B35" t="str">
        <f>_xll.BDP("600050 CH Equity","DS192")</f>
        <v>CHINA UNITED-A</v>
      </c>
      <c r="C35">
        <f>_xll.BDP("600050 CH Equity","RR910","DS215=USD","DY339=UNIT")</f>
        <v>20819462278.124725</v>
      </c>
      <c r="D35" t="str">
        <f>_xll.BDP("600050 CH Equity","DX129")</f>
        <v>CN</v>
      </c>
      <c r="F35">
        <f>_xll.BDP("600050 CH Equity","ST058")</f>
        <v>20.6</v>
      </c>
      <c r="G35">
        <f>_xll.BDP("600050 CH Equity","SR468")</f>
        <v>15.3</v>
      </c>
      <c r="I35">
        <f>_xll.BDP("600050 CH Equity","SR001")</f>
        <v>2.5499999523162842</v>
      </c>
      <c r="J35">
        <f>_xll.BDP("600050 CH Equity","SR002")</f>
        <v>1.1364737749099731</v>
      </c>
      <c r="K35">
        <f>_xll.BDP("600050 CH Equity","SR267")</f>
        <v>0.44117647409439087</v>
      </c>
      <c r="L35" t="s">
        <v>26</v>
      </c>
      <c r="N35">
        <f>_xll.BDP("600050 CH Equity","SR238")</f>
        <v>0</v>
      </c>
      <c r="O35">
        <f>_xll.BDP("600050 CH Equity","SR205")</f>
        <v>1.4528439044952393</v>
      </c>
      <c r="P35">
        <f>_xll.BDP("600050 CH Equity","SR211")</f>
        <v>10</v>
      </c>
      <c r="Q35">
        <f>_xll.BDP("600050 CH Equity","SR235")</f>
        <v>0</v>
      </c>
      <c r="S35">
        <f>_xll.BDP("600050 CH Equity","SR259")</f>
        <v>0</v>
      </c>
      <c r="T35">
        <f>_xll.BDP("600050 CH Equity","SR263")</f>
        <v>0.60000002384185791</v>
      </c>
      <c r="U35" t="s">
        <v>22</v>
      </c>
      <c r="V35" t="s">
        <v>27</v>
      </c>
      <c r="X35">
        <f>_xll.BDP("600050 CH Equity","SR480")</f>
        <v>0</v>
      </c>
      <c r="Y35">
        <f>_xll.BDP("600050 CH Equity","SR477")</f>
        <v>0.84467673301696777</v>
      </c>
    </row>
    <row r="36" spans="1:25" x14ac:dyDescent="0.25">
      <c r="A36" t="s">
        <v>71</v>
      </c>
      <c r="B36" t="str">
        <f>_xll.BDP("TELIA SS Equity","DS192")</f>
        <v>TELIA CO AB</v>
      </c>
      <c r="C36">
        <f>_xll.BDP("TELIA SS Equity","RR910","DS215=USD","DY339=UNIT")</f>
        <v>20484168307.115612</v>
      </c>
      <c r="D36" t="str">
        <f>_xll.BDP("TELIA SS Equity","DX129")</f>
        <v>SE</v>
      </c>
      <c r="F36">
        <f>_xll.BDP("TELIA SS Equity","ST058")</f>
        <v>75.599999999999994</v>
      </c>
      <c r="G36">
        <f>_xll.BDP("TELIA SS Equity","SR468")</f>
        <v>89.4</v>
      </c>
      <c r="I36">
        <f>_xll.BDP("TELIA SS Equity","SR001")</f>
        <v>4.5799999237060547</v>
      </c>
      <c r="J36">
        <f>_xll.BDP("TELIA SS Equity","SR002")</f>
        <v>5.9844565391540527</v>
      </c>
      <c r="K36">
        <f>_xll.BDP("TELIA SS Equity","SR267")</f>
        <v>0.58823531866073608</v>
      </c>
      <c r="L36" t="s">
        <v>43</v>
      </c>
      <c r="N36">
        <f>_xll.BDP("TELIA SS Equity","SR238")</f>
        <v>3</v>
      </c>
      <c r="O36">
        <f>_xll.BDP("TELIA SS Equity","SR205")</f>
        <v>8.281702995300293</v>
      </c>
      <c r="P36">
        <f>_xll.BDP("TELIA SS Equity","SR211")</f>
        <v>10</v>
      </c>
      <c r="Q36">
        <f>_xll.BDP("TELIA SS Equity","SR235")</f>
        <v>3.6583123207092285</v>
      </c>
      <c r="S36">
        <f>_xll.BDP("TELIA SS Equity","SR259")</f>
        <v>0</v>
      </c>
      <c r="T36">
        <f>_xll.BDP("TELIA SS Equity","SR263")</f>
        <v>0.80000001192092896</v>
      </c>
      <c r="U36" t="s">
        <v>22</v>
      </c>
      <c r="V36" t="s">
        <v>44</v>
      </c>
      <c r="X36">
        <f>_xll.BDP("TELIA SS Equity","SR480")</f>
        <v>10</v>
      </c>
      <c r="Y36">
        <f>_xll.BDP("TELIA SS Equity","SR477")</f>
        <v>8.6060314178466797</v>
      </c>
    </row>
    <row r="37" spans="1:25" x14ac:dyDescent="0.25">
      <c r="A37" t="s">
        <v>72</v>
      </c>
      <c r="B37" t="str">
        <f>_xll.BDP("AAF LN Equity","DS192")</f>
        <v>AIRTEL AFRICA</v>
      </c>
      <c r="C37">
        <f>_xll.BDP("AAF LN Equity","RR910","DS215=USD","DY339=UNIT")</f>
        <v>18809928296.133915</v>
      </c>
      <c r="D37" t="str">
        <f>_xll.BDP("AAF LN Equity","DX129")</f>
        <v>NG</v>
      </c>
      <c r="F37">
        <f>_xll.BDP("AAF LN Equity","ST058")</f>
        <v>77.900000000000006</v>
      </c>
      <c r="G37">
        <f>_xll.BDP("AAF LN Equity","SR468")</f>
        <v>51.2</v>
      </c>
      <c r="I37">
        <f>_xll.BDP("AAF LN Equity","SR001")</f>
        <v>4.7100000381469727</v>
      </c>
      <c r="J37">
        <f>_xll.BDP("AAF LN Equity","SR002")</f>
        <v>3.1766703128814697</v>
      </c>
      <c r="K37">
        <f>_xll.BDP("AAF LN Equity","SR267")</f>
        <v>0.29411765933036804</v>
      </c>
      <c r="L37" t="s">
        <v>21</v>
      </c>
      <c r="N37">
        <f>_xll.BDP("AAF LN Equity","SR238")</f>
        <v>0</v>
      </c>
      <c r="O37">
        <f>_xll.BDP("AAF LN Equity","SR205")</f>
        <v>5.7387185096740723</v>
      </c>
      <c r="P37">
        <f>_xll.BDP("AAF LN Equity","SR211")</f>
        <v>10</v>
      </c>
      <c r="Q37">
        <f>_xll.BDP("AAF LN Equity","SR235")</f>
        <v>3.6583123207092285</v>
      </c>
      <c r="S37">
        <f>_xll.BDP("AAF LN Equity","SR259")</f>
        <v>0</v>
      </c>
      <c r="T37">
        <f>_xll.BDP("AAF LN Equity","SR263")</f>
        <v>0.40000000596046448</v>
      </c>
      <c r="U37" t="s">
        <v>22</v>
      </c>
      <c r="V37" t="s">
        <v>23</v>
      </c>
      <c r="X37">
        <f>_xll.BDP("AAF LN Equity","SR480")</f>
        <v>0</v>
      </c>
      <c r="Y37">
        <f>_xll.BDP("AAF LN Equity","SR477")</f>
        <v>7.4177694320678711</v>
      </c>
    </row>
    <row r="38" spans="1:25" x14ac:dyDescent="0.25">
      <c r="A38" t="s">
        <v>73</v>
      </c>
      <c r="B38" t="str">
        <f>_xll.BDP("T CN Equity","DS192")</f>
        <v>TELUS CORP</v>
      </c>
      <c r="C38">
        <f>_xll.BDP("T CN Equity","RR910","DS215=USD","DY339=UNIT")</f>
        <v>18482906606.76358</v>
      </c>
      <c r="D38" t="str">
        <f>_xll.BDP("T CN Equity","DX129")</f>
        <v>CA</v>
      </c>
      <c r="F38">
        <f>_xll.BDP("T CN Equity","ST058")</f>
        <v>88.8</v>
      </c>
      <c r="G38">
        <f>_xll.BDP("T CN Equity","SR468")</f>
        <v>96.5</v>
      </c>
      <c r="I38">
        <f>_xll.BDP("T CN Equity","SR001")</f>
        <v>5.3299999237060547</v>
      </c>
      <c r="J38">
        <f>_xll.BDP("T CN Equity","SR002")</f>
        <v>6.8717007637023926</v>
      </c>
      <c r="K38">
        <f>_xll.BDP("T CN Equity","SR267")</f>
        <v>0.79411762952804565</v>
      </c>
      <c r="L38" t="s">
        <v>29</v>
      </c>
      <c r="N38">
        <f>_xll.BDP("T CN Equity","SR238")</f>
        <v>5.420191764831543</v>
      </c>
      <c r="O38">
        <f>_xll.BDP("T CN Equity","SR205")</f>
        <v>8.1198606491088867</v>
      </c>
      <c r="P38">
        <f>_xll.BDP("T CN Equity","SR211")</f>
        <v>10</v>
      </c>
      <c r="Q38">
        <f>_xll.BDP("T CN Equity","SR235")</f>
        <v>1.9747449159622192</v>
      </c>
      <c r="S38">
        <f>_xll.BDP("T CN Equity","SR259")</f>
        <v>0.2222222238779068</v>
      </c>
      <c r="T38">
        <f>_xll.BDP("T CN Equity","SR263")</f>
        <v>1</v>
      </c>
      <c r="U38" t="s">
        <v>30</v>
      </c>
      <c r="V38" t="s">
        <v>31</v>
      </c>
      <c r="X38">
        <f>_xll.BDP("T CN Equity","SR480")</f>
        <v>8.5231142044067383</v>
      </c>
      <c r="Y38">
        <f>_xll.BDP("T CN Equity","SR477")</f>
        <v>7.3364686965942383</v>
      </c>
    </row>
    <row r="39" spans="1:25" x14ac:dyDescent="0.25">
      <c r="A39" t="s">
        <v>74</v>
      </c>
      <c r="B39" t="str">
        <f>_xll.BDP("VOD SJ Equity","DS192")</f>
        <v>VODACOM GROUP</v>
      </c>
      <c r="C39">
        <f>_xll.BDP("VOD SJ Equity","RR910","DS215=USD","DY339=UNIT")</f>
        <v>18475557929.82568</v>
      </c>
      <c r="D39" t="str">
        <f>_xll.BDP("VOD SJ Equity","DX129")</f>
        <v>ZA</v>
      </c>
      <c r="F39">
        <f>_xll.BDP("VOD SJ Equity","ST058")</f>
        <v>91.8</v>
      </c>
      <c r="G39">
        <f>_xll.BDP("VOD SJ Equity","SR468")</f>
        <v>80.599999999999994</v>
      </c>
      <c r="I39">
        <f>_xll.BDP("VOD SJ Equity","SR001")</f>
        <v>5.5</v>
      </c>
      <c r="J39">
        <f>_xll.BDP("VOD SJ Equity","SR002")</f>
        <v>5.2775192260742188</v>
      </c>
      <c r="K39">
        <f>_xll.BDP("VOD SJ Equity","SR267")</f>
        <v>0.73529410362243652</v>
      </c>
      <c r="L39" t="s">
        <v>40</v>
      </c>
      <c r="N39">
        <f>_xll.BDP("VOD SJ Equity","SR238")</f>
        <v>3</v>
      </c>
      <c r="O39">
        <f>_xll.BDP("VOD SJ Equity","SR205")</f>
        <v>6.9382777214050293</v>
      </c>
      <c r="P39">
        <f>_xll.BDP("VOD SJ Equity","SR211")</f>
        <v>10</v>
      </c>
      <c r="Q39">
        <f>_xll.BDP("VOD SJ Equity","SR235")</f>
        <v>1.9747449159622192</v>
      </c>
      <c r="S39">
        <f>_xll.BDP("VOD SJ Equity","SR259")</f>
        <v>0</v>
      </c>
      <c r="T39">
        <f>_xll.BDP("VOD SJ Equity","SR263")</f>
        <v>1</v>
      </c>
      <c r="U39" t="s">
        <v>22</v>
      </c>
      <c r="V39" t="s">
        <v>31</v>
      </c>
      <c r="X39">
        <f>_xll.BDP("VOD SJ Equity","SR480")</f>
        <v>10</v>
      </c>
      <c r="Y39">
        <f>_xll.BDP("VOD SJ Equity","SR477")</f>
        <v>5.662559986114502</v>
      </c>
    </row>
    <row r="40" spans="1:25" x14ac:dyDescent="0.25">
      <c r="A40" t="s">
        <v>75</v>
      </c>
      <c r="B40" t="str">
        <f>_xll.BDP("TLKM IJ Equity","DS192")</f>
        <v>TELKOM INDONESIA</v>
      </c>
      <c r="C40">
        <f>_xll.BDP("TLKM IJ Equity","RR910","DS215=USD","DY339=UNIT")</f>
        <v>18168060284.095554</v>
      </c>
      <c r="D40" t="str">
        <f>_xll.BDP("TLKM IJ Equity","DX129")</f>
        <v>ID</v>
      </c>
      <c r="F40">
        <f>_xll.BDP("TLKM IJ Equity","ST058")</f>
        <v>58.8</v>
      </c>
      <c r="G40">
        <f>_xll.BDP("TLKM IJ Equity","SR468")</f>
        <v>28.2</v>
      </c>
      <c r="I40">
        <f>_xll.BDP("TLKM IJ Equity","SR001")</f>
        <v>3.9300000667572021</v>
      </c>
      <c r="J40">
        <f>_xll.BDP("TLKM IJ Equity","SR002")</f>
        <v>2.2666857242584229</v>
      </c>
      <c r="K40">
        <f>_xll.BDP("TLKM IJ Equity","SR267")</f>
        <v>0.73529410362243652</v>
      </c>
      <c r="L40" t="s">
        <v>40</v>
      </c>
      <c r="N40">
        <f>_xll.BDP("TLKM IJ Equity","SR238")</f>
        <v>0</v>
      </c>
      <c r="O40">
        <f>_xll.BDP("TLKM IJ Equity","SR205")</f>
        <v>4.0054984092712402</v>
      </c>
      <c r="P40">
        <f>_xll.BDP("TLKM IJ Equity","SR211")</f>
        <v>10</v>
      </c>
      <c r="Q40">
        <f>_xll.BDP("TLKM IJ Equity","SR235")</f>
        <v>0</v>
      </c>
      <c r="S40">
        <f>_xll.BDP("TLKM IJ Equity","SR259")</f>
        <v>0</v>
      </c>
      <c r="T40">
        <f>_xll.BDP("TLKM IJ Equity","SR263")</f>
        <v>1</v>
      </c>
      <c r="U40" t="s">
        <v>22</v>
      </c>
      <c r="V40" t="s">
        <v>31</v>
      </c>
      <c r="X40">
        <f>_xll.BDP("TLKM IJ Equity","SR480")</f>
        <v>0</v>
      </c>
      <c r="Y40">
        <f>_xll.BDP("TLKM IJ Equity","SR477")</f>
        <v>1.5077897310256958</v>
      </c>
    </row>
    <row r="41" spans="1:25" x14ac:dyDescent="0.25">
      <c r="A41" t="s">
        <v>76</v>
      </c>
      <c r="B41" t="str">
        <f>_xll.BDP("RCI/B CN Equity","DS192")</f>
        <v>ROGERS COMMUNI-B</v>
      </c>
      <c r="C41">
        <f>_xll.BDP("RCI/B CN Equity","RR910","DS215=USD","DY339=UNIT")</f>
        <v>17673525312.108719</v>
      </c>
      <c r="D41" t="str">
        <f>_xll.BDP("RCI/B CN Equity","DX129")</f>
        <v>CA</v>
      </c>
      <c r="F41">
        <f>_xll.BDP("RCI/B CN Equity","ST058")</f>
        <v>53.5</v>
      </c>
      <c r="G41">
        <f>_xll.BDP("RCI/B CN Equity","SR468")</f>
        <v>80</v>
      </c>
      <c r="I41">
        <f>_xll.BDP("RCI/B CN Equity","SR001")</f>
        <v>3.7599999904632568</v>
      </c>
      <c r="J41">
        <f>_xll.BDP("RCI/B CN Equity","SR002")</f>
        <v>5.2037053108215332</v>
      </c>
      <c r="K41">
        <f>_xll.BDP("RCI/B CN Equity","SR267")</f>
        <v>0.79411762952804565</v>
      </c>
      <c r="L41" t="s">
        <v>29</v>
      </c>
      <c r="N41">
        <f>_xll.BDP("RCI/B CN Equity","SR238")</f>
        <v>2.8979768753051758</v>
      </c>
      <c r="O41">
        <f>_xll.BDP("RCI/B CN Equity","SR205")</f>
        <v>7.2353429794311523</v>
      </c>
      <c r="P41">
        <f>_xll.BDP("RCI/B CN Equity","SR211")</f>
        <v>10</v>
      </c>
      <c r="Q41">
        <f>_xll.BDP("RCI/B CN Equity","SR235")</f>
        <v>0</v>
      </c>
      <c r="S41">
        <f>_xll.BDP("RCI/B CN Equity","SR259")</f>
        <v>0.2222222238779068</v>
      </c>
      <c r="T41">
        <f>_xll.BDP("RCI/B CN Equity","SR263")</f>
        <v>1</v>
      </c>
      <c r="U41" t="s">
        <v>30</v>
      </c>
      <c r="V41" t="s">
        <v>31</v>
      </c>
      <c r="X41">
        <f>_xll.BDP("RCI/B CN Equity","SR480")</f>
        <v>4.2866826057434082</v>
      </c>
      <c r="Y41">
        <f>_xll.BDP("RCI/B CN Equity","SR477")</f>
        <v>6.083402156829834</v>
      </c>
    </row>
    <row r="42" spans="1:25" x14ac:dyDescent="0.25">
      <c r="A42" t="s">
        <v>77</v>
      </c>
      <c r="B42" t="str">
        <f>_xll.BDP("TIT IM Equity","DS192")</f>
        <v>TELECOM ITALIA S</v>
      </c>
      <c r="C42">
        <f>_xll.BDP("TIT IM Equity","RR910","DS215=USD","DY339=UNIT")</f>
        <v>16724923058.278233</v>
      </c>
      <c r="D42" t="str">
        <f>_xll.BDP("TIT IM Equity","DX129")</f>
        <v>IT</v>
      </c>
      <c r="F42">
        <f>_xll.BDP("TIT IM Equity","ST058")</f>
        <v>86.8</v>
      </c>
      <c r="G42">
        <f>_xll.BDP("TIT IM Equity","SR468")</f>
        <v>65.900000000000006</v>
      </c>
      <c r="I42">
        <f>_xll.BDP("TIT IM Equity","SR001")</f>
        <v>5.0100002288818359</v>
      </c>
      <c r="J42">
        <f>_xll.BDP("TIT IM Equity","SR002")</f>
        <v>4.040499210357666</v>
      </c>
      <c r="K42">
        <f>_xll.BDP("TIT IM Equity","SR267")</f>
        <v>0.73529410362243652</v>
      </c>
      <c r="L42" t="s">
        <v>40</v>
      </c>
      <c r="N42">
        <f>_xll.BDP("TIT IM Equity","SR238")</f>
        <v>0</v>
      </c>
      <c r="O42">
        <f>_xll.BDP("TIT IM Equity","SR205")</f>
        <v>8.1467761993408203</v>
      </c>
      <c r="P42">
        <f>_xll.BDP("TIT IM Equity","SR211")</f>
        <v>10</v>
      </c>
      <c r="Q42">
        <f>_xll.BDP("TIT IM Equity","SR235")</f>
        <v>1.9747449159622192</v>
      </c>
      <c r="S42">
        <f>_xll.BDP("TIT IM Equity","SR259")</f>
        <v>0</v>
      </c>
      <c r="T42">
        <f>_xll.BDP("TIT IM Equity","SR263")</f>
        <v>1</v>
      </c>
      <c r="U42" t="s">
        <v>22</v>
      </c>
      <c r="V42" t="s">
        <v>31</v>
      </c>
      <c r="X42">
        <f>_xll.BDP("TIT IM Equity","SR480")</f>
        <v>0</v>
      </c>
      <c r="Y42">
        <f>_xll.BDP("TIT IM Equity","SR477")</f>
        <v>7.3745994567871094</v>
      </c>
    </row>
    <row r="43" spans="1:25" x14ac:dyDescent="0.25">
      <c r="A43" t="s">
        <v>78</v>
      </c>
      <c r="B43" t="str">
        <f>_xll.BDP("TRUE TB Equity","DS192")</f>
        <v>TRUE CORP PCL</v>
      </c>
      <c r="C43">
        <f>_xll.BDP("TRUE TB Equity","RR910","DS215=USD","DY339=UNIT")</f>
        <v>15309384274.803368</v>
      </c>
      <c r="D43" t="str">
        <f>_xll.BDP("TRUE TB Equity","DX129")</f>
        <v>TH</v>
      </c>
      <c r="F43">
        <f>_xll.BDP("TRUE TB Equity","ST058")</f>
        <v>83.2</v>
      </c>
      <c r="G43">
        <f>_xll.BDP("TRUE TB Equity","SR468")</f>
        <v>64.099999999999994</v>
      </c>
      <c r="I43">
        <f>_xll.BDP("TRUE TB Equity","SR001")</f>
        <v>4.940000057220459</v>
      </c>
      <c r="J43">
        <f>_xll.BDP("TRUE TB Equity","SR002")</f>
        <v>3.9943554401397705</v>
      </c>
      <c r="K43">
        <f>_xll.BDP("TRUE TB Equity","SR267")</f>
        <v>0.88235294818878174</v>
      </c>
      <c r="L43" t="s">
        <v>33</v>
      </c>
      <c r="N43">
        <f>_xll.BDP("TRUE TB Equity","SR238")</f>
        <v>6.7829184532165527</v>
      </c>
      <c r="O43">
        <f>_xll.BDP("TRUE TB Equity","SR205")</f>
        <v>1.8626813888549805</v>
      </c>
      <c r="P43">
        <f>_xll.BDP("TRUE TB Equity","SR211")</f>
        <v>10</v>
      </c>
      <c r="Q43">
        <f>_xll.BDP("TRUE TB Equity","SR235")</f>
        <v>3.6583123207092285</v>
      </c>
      <c r="S43">
        <f>_xll.BDP("TRUE TB Equity","SR259")</f>
        <v>0.55555558204650879</v>
      </c>
      <c r="T43">
        <f>_xll.BDP("TRUE TB Equity","SR263")</f>
        <v>1</v>
      </c>
      <c r="U43" t="s">
        <v>34</v>
      </c>
      <c r="V43" t="s">
        <v>31</v>
      </c>
      <c r="X43">
        <f>_xll.BDP("TRUE TB Equity","SR480")</f>
        <v>7.8960576057434082</v>
      </c>
      <c r="Y43">
        <f>_xll.BDP("TRUE TB Equity","SR477")</f>
        <v>0.69850552082061768</v>
      </c>
    </row>
    <row r="44" spans="1:25" x14ac:dyDescent="0.25">
      <c r="A44" t="s">
        <v>79</v>
      </c>
      <c r="B44" t="str">
        <f>_xll.BDP("TEL2B SS Equity","DS192")</f>
        <v>TELE2 AB-B SHS</v>
      </c>
      <c r="C44">
        <f>_xll.BDP("TEL2B SS Equity","RR910","DS215=USD","DY339=UNIT")</f>
        <v>14740877891.731995</v>
      </c>
      <c r="D44" t="str">
        <f>_xll.BDP("TEL2B SS Equity","DX129")</f>
        <v>SE</v>
      </c>
      <c r="F44">
        <f>_xll.BDP("TEL2B SS Equity","ST058")</f>
        <v>58.2</v>
      </c>
      <c r="G44">
        <f>_xll.BDP("TEL2B SS Equity","SR468")</f>
        <v>71.8</v>
      </c>
      <c r="I44">
        <f>_xll.BDP("TEL2B SS Equity","SR001")</f>
        <v>3.9200000762939453</v>
      </c>
      <c r="J44">
        <f>_xll.BDP("TEL2B SS Equity","SR002")</f>
        <v>4.426018238067627</v>
      </c>
      <c r="K44">
        <f>_xll.BDP("TEL2B SS Equity","SR267")</f>
        <v>0.73529410362243652</v>
      </c>
      <c r="L44" t="s">
        <v>40</v>
      </c>
      <c r="N44">
        <f>_xll.BDP("TEL2B SS Equity","SR238")</f>
        <v>0</v>
      </c>
      <c r="O44">
        <f>_xll.BDP("TEL2B SS Equity","SR205")</f>
        <v>8.925633430480957</v>
      </c>
      <c r="P44">
        <f>_xll.BDP("TEL2B SS Equity","SR211")</f>
        <v>10</v>
      </c>
      <c r="Q44">
        <f>_xll.BDP("TEL2B SS Equity","SR235")</f>
        <v>3.6583123207092285</v>
      </c>
      <c r="S44">
        <f>_xll.BDP("TEL2B SS Equity","SR259")</f>
        <v>0</v>
      </c>
      <c r="T44">
        <f>_xll.BDP("TEL2B SS Equity","SR263")</f>
        <v>1</v>
      </c>
      <c r="U44" t="s">
        <v>22</v>
      </c>
      <c r="V44" t="s">
        <v>31</v>
      </c>
      <c r="X44">
        <f>_xll.BDP("TEL2B SS Equity","SR480")</f>
        <v>0</v>
      </c>
      <c r="Y44">
        <f>_xll.BDP("TEL2B SS Equity","SR477")</f>
        <v>8.4779806137084961</v>
      </c>
    </row>
    <row r="45" spans="1:25" x14ac:dyDescent="0.25">
      <c r="A45" t="s">
        <v>80</v>
      </c>
      <c r="B45" t="str">
        <f>_xll.BDP("TIGO US Equity","DS192")</f>
        <v>MILLICOM INTL</v>
      </c>
      <c r="C45">
        <f>_xll.BDP("TIGO US Equity","RR910","DS215=USD","DY339=UNIT")</f>
        <v>13910966095.319998</v>
      </c>
      <c r="D45" t="str">
        <f>_xll.BDP("TIGO US Equity","DX129")</f>
        <v>GT</v>
      </c>
      <c r="F45">
        <f>_xll.BDP("TIGO US Equity","ST058")</f>
        <v>70</v>
      </c>
      <c r="G45">
        <f>_xll.BDP("TIGO US Equity","SR468")</f>
        <v>43.5</v>
      </c>
      <c r="I45">
        <f>_xll.BDP("TIGO US Equity","SR001")</f>
        <v>4.3499999046325684</v>
      </c>
      <c r="J45">
        <f>_xll.BDP("TIGO US Equity","SR002")</f>
        <v>2.8337364196777344</v>
      </c>
      <c r="K45">
        <f>_xll.BDP("TIGO US Equity","SR267")</f>
        <v>0.73529410362243652</v>
      </c>
      <c r="L45" t="s">
        <v>40</v>
      </c>
      <c r="N45">
        <f>_xll.BDP("TIGO US Equity","SR238")</f>
        <v>0</v>
      </c>
      <c r="O45">
        <f>_xll.BDP("TIGO US Equity","SR205")</f>
        <v>5.0861434936523438</v>
      </c>
      <c r="P45">
        <f>_xll.BDP("TIGO US Equity","SR211")</f>
        <v>10</v>
      </c>
      <c r="Q45">
        <f>_xll.BDP("TIGO US Equity","SR235")</f>
        <v>1.9747449159622192</v>
      </c>
      <c r="S45">
        <f>_xll.BDP("TIGO US Equity","SR259")</f>
        <v>0</v>
      </c>
      <c r="T45">
        <f>_xll.BDP("TIGO US Equity","SR263")</f>
        <v>1</v>
      </c>
      <c r="U45" t="s">
        <v>22</v>
      </c>
      <c r="V45" t="s">
        <v>31</v>
      </c>
      <c r="X45">
        <f>_xll.BDP("TIGO US Equity","SR480")</f>
        <v>0</v>
      </c>
      <c r="Y45">
        <f>_xll.BDP("TIGO US Equity","SR477")</f>
        <v>3.038703441619873</v>
      </c>
    </row>
    <row r="46" spans="1:25" x14ac:dyDescent="0.25">
      <c r="A46" t="s">
        <v>81</v>
      </c>
      <c r="B46" t="str">
        <f>_xll.BDP("TIMS3 BZ Equity","DS192")</f>
        <v>TIM SA</v>
      </c>
      <c r="C46">
        <f>_xll.BDP("TIMS3 BZ Equity","RR910","DS215=USD","DY339=UNIT")</f>
        <v>13499609809.793037</v>
      </c>
      <c r="D46" t="str">
        <f>_xll.BDP("TIMS3 BZ Equity","DX129")</f>
        <v>BR</v>
      </c>
      <c r="F46">
        <f>_xll.BDP("TIMS3 BZ Equity","ST058")</f>
        <v>95.9</v>
      </c>
      <c r="G46">
        <f>_xll.BDP("TIMS3 BZ Equity","SR468")</f>
        <v>87.6</v>
      </c>
      <c r="I46">
        <f>_xll.BDP("TIMS3 BZ Equity","SR001")</f>
        <v>5.7699999809265137</v>
      </c>
      <c r="J46">
        <f>_xll.BDP("TIMS3 BZ Equity","SR002")</f>
        <v>5.9233403205871582</v>
      </c>
      <c r="K46">
        <f>_xll.BDP("TIMS3 BZ Equity","SR267")</f>
        <v>0.73529410362243652</v>
      </c>
      <c r="L46" t="s">
        <v>40</v>
      </c>
      <c r="N46">
        <f>_xll.BDP("TIMS3 BZ Equity","SR238")</f>
        <v>3</v>
      </c>
      <c r="O46">
        <f>_xll.BDP("TIMS3 BZ Equity","SR205")</f>
        <v>8.7605390548706055</v>
      </c>
      <c r="P46">
        <f>_xll.BDP("TIMS3 BZ Equity","SR211")</f>
        <v>10</v>
      </c>
      <c r="Q46">
        <f>_xll.BDP("TIMS3 BZ Equity","SR235")</f>
        <v>0</v>
      </c>
      <c r="S46">
        <f>_xll.BDP("TIMS3 BZ Equity","SR259")</f>
        <v>0</v>
      </c>
      <c r="T46">
        <f>_xll.BDP("TIMS3 BZ Equity","SR263")</f>
        <v>1</v>
      </c>
      <c r="U46" t="s">
        <v>22</v>
      </c>
      <c r="V46" t="s">
        <v>31</v>
      </c>
      <c r="X46">
        <f>_xll.BDP("TIMS3 BZ Equity","SR480")</f>
        <v>10</v>
      </c>
      <c r="Y46">
        <f>_xll.BDP("TIMS3 BZ Equity","SR477")</f>
        <v>8.2440967559814453</v>
      </c>
    </row>
    <row r="47" spans="1:25" x14ac:dyDescent="0.25">
      <c r="A47" t="s">
        <v>82</v>
      </c>
      <c r="B47" t="str">
        <f>_xll.BDP("017670 KS Equity","DS192")</f>
        <v>SK TELECOM</v>
      </c>
      <c r="C47">
        <f>_xll.BDP("017670 KS Equity","RR910","DS215=USD","DY339=UNIT")</f>
        <v>13384762179.489637</v>
      </c>
      <c r="D47" t="str">
        <f>_xll.BDP("017670 KS Equity","DX129")</f>
        <v>KR</v>
      </c>
      <c r="F47">
        <f>_xll.BDP("017670 KS Equity","ST058")</f>
        <v>76.5</v>
      </c>
      <c r="G47">
        <f>_xll.BDP("017670 KS Equity","SR468")</f>
        <v>32.4</v>
      </c>
      <c r="I47">
        <f>_xll.BDP("017670 KS Equity","SR001")</f>
        <v>4.630000114440918</v>
      </c>
      <c r="J47">
        <f>_xll.BDP("017670 KS Equity","SR002")</f>
        <v>2.3297746181488037</v>
      </c>
      <c r="K47">
        <f>_xll.BDP("017670 KS Equity","SR267")</f>
        <v>0.73529410362243652</v>
      </c>
      <c r="L47" t="s">
        <v>40</v>
      </c>
      <c r="N47">
        <f>_xll.BDP("017670 KS Equity","SR238")</f>
        <v>0</v>
      </c>
      <c r="O47">
        <f>_xll.BDP("017670 KS Equity","SR205")</f>
        <v>4.1575112342834473</v>
      </c>
      <c r="P47">
        <f>_xll.BDP("017670 KS Equity","SR211")</f>
        <v>10</v>
      </c>
      <c r="Q47">
        <f>_xll.BDP("017670 KS Equity","SR235")</f>
        <v>0</v>
      </c>
      <c r="S47">
        <f>_xll.BDP("017670 KS Equity","SR259")</f>
        <v>0</v>
      </c>
      <c r="T47">
        <f>_xll.BDP("017670 KS Equity","SR263")</f>
        <v>1</v>
      </c>
      <c r="U47" t="s">
        <v>22</v>
      </c>
      <c r="V47" t="s">
        <v>31</v>
      </c>
      <c r="X47">
        <f>_xll.BDP("017670 KS Equity","SR480")</f>
        <v>0</v>
      </c>
      <c r="Y47">
        <f>_xll.BDP("017670 KS Equity","SR477")</f>
        <v>1.7231411933898926</v>
      </c>
    </row>
    <row r="48" spans="1:25" x14ac:dyDescent="0.25">
      <c r="A48" t="s">
        <v>83</v>
      </c>
      <c r="B48" t="str">
        <f>_xll.BDP("3045 TT Equity","DS192")</f>
        <v>TAIWAN MOBILE</v>
      </c>
      <c r="C48">
        <f>_xll.BDP("3045 TT Equity","RR910","DS215=USD","DY339=UNIT")</f>
        <v>12883664315.048738</v>
      </c>
      <c r="D48" t="str">
        <f>_xll.BDP("3045 TT Equity","DX129")</f>
        <v>TW</v>
      </c>
      <c r="F48">
        <f>_xll.BDP("3045 TT Equity","ST058")</f>
        <v>87.6</v>
      </c>
      <c r="G48">
        <f>_xll.BDP("3045 TT Equity","SR468")</f>
        <v>60.6</v>
      </c>
      <c r="I48">
        <f>_xll.BDP("3045 TT Equity","SR001")</f>
        <v>5.0300002098083496</v>
      </c>
      <c r="J48">
        <f>_xll.BDP("3045 TT Equity","SR002")</f>
        <v>3.6677894592285156</v>
      </c>
      <c r="K48">
        <f>_xll.BDP("3045 TT Equity","SR267")</f>
        <v>1</v>
      </c>
      <c r="L48" t="s">
        <v>31</v>
      </c>
      <c r="N48">
        <f>_xll.BDP("3045 TT Equity","SR238")</f>
        <v>1.5346311330795288</v>
      </c>
      <c r="O48">
        <f>_xll.BDP("3045 TT Equity","SR205")</f>
        <v>4.7644309997558594</v>
      </c>
      <c r="P48">
        <f>_xll.BDP("3045 TT Equity","SR211")</f>
        <v>10</v>
      </c>
      <c r="Q48">
        <f>_xll.BDP("3045 TT Equity","SR235")</f>
        <v>3.6583123207092285</v>
      </c>
      <c r="S48">
        <f>_xll.BDP("3045 TT Equity","SR259")</f>
        <v>0.77777779102325439</v>
      </c>
      <c r="T48">
        <f>_xll.BDP("3045 TT Equity","SR263")</f>
        <v>1</v>
      </c>
      <c r="U48" t="s">
        <v>52</v>
      </c>
      <c r="V48" t="s">
        <v>31</v>
      </c>
      <c r="X48">
        <f>_xll.BDP("3045 TT Equity","SR480")</f>
        <v>0.71686917543411255</v>
      </c>
      <c r="Y48">
        <f>_xll.BDP("3045 TT Equity","SR477")</f>
        <v>2.5829439163208008</v>
      </c>
    </row>
    <row r="49" spans="1:25" x14ac:dyDescent="0.25">
      <c r="A49" t="s">
        <v>84</v>
      </c>
      <c r="B49" t="str">
        <f>_xll.BDP("DU UH Equity","DS192")</f>
        <v>EMIRATES INTEGRA</v>
      </c>
      <c r="C49">
        <f>_xll.BDP("DU UH Equity","RR910","DS215=USD","DY339=UNIT")</f>
        <v>12587292400.814789</v>
      </c>
      <c r="D49" t="str">
        <f>_xll.BDP("DU UH Equity","DX129")</f>
        <v>AE</v>
      </c>
      <c r="F49">
        <f>_xll.BDP("DU UH Equity","ST058")</f>
        <v>52.4</v>
      </c>
      <c r="G49">
        <f>_xll.BDP("DU UH Equity","SR468")</f>
        <v>54.1</v>
      </c>
      <c r="I49">
        <f>_xll.BDP("DU UH Equity","SR001")</f>
        <v>3.7400000095367432</v>
      </c>
      <c r="J49">
        <f>_xll.BDP("DU UH Equity","SR002")</f>
        <v>3.3655896186828613</v>
      </c>
      <c r="K49">
        <f>_xll.BDP("DU UH Equity","SR267")</f>
        <v>0.29411765933036804</v>
      </c>
      <c r="L49" t="s">
        <v>21</v>
      </c>
      <c r="N49">
        <f>_xll.BDP("DU UH Equity","SR238")</f>
        <v>0</v>
      </c>
      <c r="O49">
        <f>_xll.BDP("DU UH Equity","SR205")</f>
        <v>6.2072701454162598</v>
      </c>
      <c r="P49">
        <f>_xll.BDP("DU UH Equity","SR211")</f>
        <v>10</v>
      </c>
      <c r="Q49">
        <f>_xll.BDP("DU UH Equity","SR235")</f>
        <v>3.6583123207092285</v>
      </c>
      <c r="S49">
        <f>_xll.BDP("DU UH Equity","SR259")</f>
        <v>0</v>
      </c>
      <c r="T49">
        <f>_xll.BDP("DU UH Equity","SR263")</f>
        <v>0.40000000596046448</v>
      </c>
      <c r="U49" t="s">
        <v>22</v>
      </c>
      <c r="V49" t="s">
        <v>23</v>
      </c>
      <c r="X49">
        <f>_xll.BDP("DU UH Equity","SR480")</f>
        <v>0</v>
      </c>
      <c r="Y49">
        <f>_xll.BDP("DU UH Equity","SR477")</f>
        <v>8.1344881057739258</v>
      </c>
    </row>
    <row r="50" spans="1:25" x14ac:dyDescent="0.25">
      <c r="A50" t="s">
        <v>85</v>
      </c>
      <c r="B50" t="str">
        <f>_xll.BDP("6823 HK Equity","DS192")</f>
        <v>HKT-SS</v>
      </c>
      <c r="C50">
        <f>_xll.BDP("6823 HK Equity","RR910","DS215=USD","DY339=UNIT")</f>
        <v>11946120996.608433</v>
      </c>
      <c r="D50" t="str">
        <f>_xll.BDP("6823 HK Equity","DX129")</f>
        <v>HK</v>
      </c>
      <c r="F50">
        <f>_xll.BDP("6823 HK Equity","ST058")</f>
        <v>68.2</v>
      </c>
      <c r="G50">
        <f>_xll.BDP("6823 HK Equity","SR468")</f>
        <v>75.900000000000006</v>
      </c>
      <c r="I50">
        <f>_xll.BDP("6823 HK Equity","SR001")</f>
        <v>4.2800002098083496</v>
      </c>
      <c r="J50">
        <f>_xll.BDP("6823 HK Equity","SR002")</f>
        <v>4.5308589935302734</v>
      </c>
      <c r="K50">
        <f>_xll.BDP("6823 HK Equity","SR267")</f>
        <v>0.5</v>
      </c>
      <c r="L50" t="s">
        <v>86</v>
      </c>
      <c r="N50">
        <f>_xll.BDP("6823 HK Equity","SR238")</f>
        <v>1.8747454881668091</v>
      </c>
      <c r="O50">
        <f>_xll.BDP("6823 HK Equity","SR205")</f>
        <v>6.2820568084716797</v>
      </c>
      <c r="P50">
        <f>_xll.BDP("6823 HK Equity","SR211")</f>
        <v>10</v>
      </c>
      <c r="Q50">
        <f>_xll.BDP("6823 HK Equity","SR235")</f>
        <v>3.6583123207092285</v>
      </c>
      <c r="S50">
        <f>_xll.BDP("6823 HK Equity","SR259")</f>
        <v>0.2222222238779068</v>
      </c>
      <c r="T50">
        <f>_xll.BDP("6823 HK Equity","SR263")</f>
        <v>0.60000002384185791</v>
      </c>
      <c r="U50" t="s">
        <v>30</v>
      </c>
      <c r="V50" t="s">
        <v>27</v>
      </c>
      <c r="X50">
        <f>_xll.BDP("6823 HK Equity","SR480")</f>
        <v>2.5680148601531982</v>
      </c>
      <c r="Y50">
        <f>_xll.BDP("6823 HK Equity","SR477")</f>
        <v>6.8864326477050781</v>
      </c>
    </row>
    <row r="51" spans="1:25" x14ac:dyDescent="0.25">
      <c r="A51" t="s">
        <v>87</v>
      </c>
      <c r="B51" t="str">
        <f>_xll.BDP("ORDS QD Equity","DS192")</f>
        <v>OOREDOO QSC</v>
      </c>
      <c r="C51">
        <f>_xll.BDP("ORDS QD Equity","RR910","DS215=USD","DY339=UNIT")</f>
        <v>11547972070.761808</v>
      </c>
      <c r="D51" t="str">
        <f>_xll.BDP("ORDS QD Equity","DX129")</f>
        <v>QA</v>
      </c>
      <c r="F51">
        <f>_xll.BDP("ORDS QD Equity","ST058")</f>
        <v>39.1</v>
      </c>
      <c r="G51">
        <f>_xll.BDP("ORDS QD Equity","SR468")</f>
        <v>24.1</v>
      </c>
      <c r="I51">
        <f>_xll.BDP("ORDS QD Equity","SR001")</f>
        <v>3.2100000381469727</v>
      </c>
      <c r="J51">
        <f>_xll.BDP("ORDS QD Equity","SR002")</f>
        <v>1.8520505428314209</v>
      </c>
      <c r="K51">
        <f>_xll.BDP("ORDS QD Equity","SR267")</f>
        <v>0.58823531866073608</v>
      </c>
      <c r="L51" t="s">
        <v>43</v>
      </c>
      <c r="N51">
        <f>_xll.BDP("ORDS QD Equity","SR238")</f>
        <v>0</v>
      </c>
      <c r="O51">
        <f>_xll.BDP("ORDS QD Equity","SR205")</f>
        <v>2.636580228805542</v>
      </c>
      <c r="P51">
        <f>_xll.BDP("ORDS QD Equity","SR211")</f>
        <v>10</v>
      </c>
      <c r="Q51">
        <f>_xll.BDP("ORDS QD Equity","SR235")</f>
        <v>3.6583123207092285</v>
      </c>
      <c r="S51">
        <f>_xll.BDP("ORDS QD Equity","SR259")</f>
        <v>0</v>
      </c>
      <c r="T51">
        <f>_xll.BDP("ORDS QD Equity","SR263")</f>
        <v>0.80000001192092896</v>
      </c>
      <c r="U51" t="s">
        <v>22</v>
      </c>
      <c r="V51" t="s">
        <v>44</v>
      </c>
      <c r="X51">
        <f>_xll.BDP("ORDS QD Equity","SR480")</f>
        <v>0</v>
      </c>
      <c r="Y51">
        <f>_xll.BDP("ORDS QD Equity","SR477")</f>
        <v>1.2020882368087769</v>
      </c>
    </row>
    <row r="52" spans="1:25" x14ac:dyDescent="0.25">
      <c r="A52" t="s">
        <v>88</v>
      </c>
      <c r="B52" t="str">
        <f>_xll.BDP("MTNN NL Equity","DS192")</f>
        <v>MTN NIGERIA COMM</v>
      </c>
      <c r="C52">
        <f>_xll.BDP("MTNN NL Equity","RR910","DS215=USD","DY339=UNIT")</f>
        <v>11404640146.689894</v>
      </c>
      <c r="D52" t="str">
        <f>_xll.BDP("MTNN NL Equity","DX129")</f>
        <v>NG</v>
      </c>
      <c r="F52">
        <f>_xll.BDP("MTNN NL Equity","ST058")</f>
        <v>61.2</v>
      </c>
      <c r="G52">
        <f>_xll.BDP("MTNN NL Equity","SR468")</f>
        <v>56.5</v>
      </c>
      <c r="I52">
        <f>_xll.BDP("MTNN NL Equity","SR001")</f>
        <v>4.0100002288818359</v>
      </c>
      <c r="J52">
        <f>_xll.BDP("MTNN NL Equity","SR002")</f>
        <v>3.4274446964263916</v>
      </c>
      <c r="K52">
        <f>_xll.BDP("MTNN NL Equity","SR267")</f>
        <v>0.44117647409439087</v>
      </c>
      <c r="L52" t="s">
        <v>26</v>
      </c>
      <c r="N52">
        <f>_xll.BDP("MTNN NL Equity","SR238")</f>
        <v>0</v>
      </c>
      <c r="O52">
        <f>_xll.BDP("MTNN NL Equity","SR205")</f>
        <v>6.9150052070617676</v>
      </c>
      <c r="P52">
        <f>_xll.BDP("MTNN NL Equity","SR211")</f>
        <v>10</v>
      </c>
      <c r="Q52">
        <f>_xll.BDP("MTNN NL Equity","SR235")</f>
        <v>0</v>
      </c>
      <c r="S52">
        <f>_xll.BDP("MTNN NL Equity","SR259")</f>
        <v>0</v>
      </c>
      <c r="T52">
        <f>_xll.BDP("MTNN NL Equity","SR263")</f>
        <v>0.60000002384185791</v>
      </c>
      <c r="U52" t="s">
        <v>22</v>
      </c>
      <c r="V52" t="s">
        <v>27</v>
      </c>
      <c r="X52">
        <f>_xll.BDP("MTNN NL Equity","SR480")</f>
        <v>0</v>
      </c>
      <c r="Y52">
        <f>_xll.BDP("MTNN NL Equity","SR477")</f>
        <v>7.8073630332946777</v>
      </c>
    </row>
    <row r="53" spans="1:25" x14ac:dyDescent="0.25">
      <c r="A53" t="s">
        <v>89</v>
      </c>
      <c r="B53" t="str">
        <f>_xll.BDP("4904 TT Equity","DS192")</f>
        <v>FAR EASTONE TELE</v>
      </c>
      <c r="C53">
        <f>_xll.BDP("4904 TT Equity","RR910","DS215=USD","DY339=UNIT")</f>
        <v>10665965845.976343</v>
      </c>
      <c r="D53" t="str">
        <f>_xll.BDP("4904 TT Equity","DX129")</f>
        <v>TW</v>
      </c>
      <c r="F53">
        <f>_xll.BDP("4904 TT Equity","ST058")</f>
        <v>79.400000000000006</v>
      </c>
      <c r="G53">
        <f>_xll.BDP("4904 TT Equity","SR468")</f>
        <v>70.599999999999994</v>
      </c>
      <c r="I53">
        <f>_xll.BDP("4904 TT Equity","SR001")</f>
        <v>4.7699999809265137</v>
      </c>
      <c r="J53">
        <f>_xll.BDP("4904 TT Equity","SR002")</f>
        <v>4.3756074905395508</v>
      </c>
      <c r="K53">
        <f>_xll.BDP("4904 TT Equity","SR267")</f>
        <v>1</v>
      </c>
      <c r="L53" t="s">
        <v>31</v>
      </c>
      <c r="N53">
        <f>_xll.BDP("4904 TT Equity","SR238")</f>
        <v>5.6348576545715332</v>
      </c>
      <c r="O53">
        <f>_xll.BDP("4904 TT Equity","SR205")</f>
        <v>3.0276675224304199</v>
      </c>
      <c r="P53">
        <f>_xll.BDP("4904 TT Equity","SR211")</f>
        <v>10</v>
      </c>
      <c r="Q53">
        <f>_xll.BDP("4904 TT Equity","SR235")</f>
        <v>3.6583123207092285</v>
      </c>
      <c r="S53">
        <f>_xll.BDP("4904 TT Equity","SR259")</f>
        <v>1</v>
      </c>
      <c r="T53">
        <f>_xll.BDP("4904 TT Equity","SR263")</f>
        <v>1</v>
      </c>
      <c r="U53" t="s">
        <v>31</v>
      </c>
      <c r="V53" t="s">
        <v>31</v>
      </c>
      <c r="X53">
        <f>_xll.BDP("4904 TT Equity","SR480")</f>
        <v>3.8160481452941895</v>
      </c>
      <c r="Y53">
        <f>_xll.BDP("4904 TT Equity","SR477")</f>
        <v>1.1353753805160522</v>
      </c>
    </row>
    <row r="54" spans="1:25" x14ac:dyDescent="0.25">
      <c r="A54" t="s">
        <v>90</v>
      </c>
      <c r="B54" t="str">
        <f>_xll.BDP("030200 KS Equity","DS192")</f>
        <v>KT CORP</v>
      </c>
      <c r="C54">
        <f>_xll.BDP("030200 KS Equity","RR910","DS215=USD","DY339=UNIT")</f>
        <v>10673214070.951756</v>
      </c>
      <c r="D54" t="str">
        <f>_xll.BDP("030200 KS Equity","DX129")</f>
        <v>KR</v>
      </c>
      <c r="F54">
        <f>_xll.BDP("030200 KS Equity","ST058")</f>
        <v>97.1</v>
      </c>
      <c r="G54">
        <f>_xll.BDP("030200 KS Equity","SR468")</f>
        <v>81.8</v>
      </c>
      <c r="I54">
        <f>_xll.BDP("030200 KS Equity","SR001")</f>
        <v>6.059999942779541</v>
      </c>
      <c r="J54">
        <f>_xll.BDP("030200 KS Equity","SR002")</f>
        <v>5.3225774765014648</v>
      </c>
      <c r="K54">
        <f>_xll.BDP("030200 KS Equity","SR267")</f>
        <v>0.94117647409439087</v>
      </c>
      <c r="L54" t="s">
        <v>51</v>
      </c>
      <c r="N54">
        <f>_xll.BDP("030200 KS Equity","SR238")</f>
        <v>7.3025617599487305</v>
      </c>
      <c r="O54">
        <f>_xll.BDP("030200 KS Equity","SR205")</f>
        <v>4.1513943672180176</v>
      </c>
      <c r="P54">
        <f>_xll.BDP("030200 KS Equity","SR211")</f>
        <v>10</v>
      </c>
      <c r="Q54">
        <f>_xll.BDP("030200 KS Equity","SR235")</f>
        <v>0</v>
      </c>
      <c r="S54">
        <f>_xll.BDP("030200 KS Equity","SR259")</f>
        <v>0.77777779102325439</v>
      </c>
      <c r="T54">
        <f>_xll.BDP("030200 KS Equity","SR263")</f>
        <v>1</v>
      </c>
      <c r="U54" t="s">
        <v>52</v>
      </c>
      <c r="V54" t="s">
        <v>31</v>
      </c>
      <c r="X54">
        <f>_xll.BDP("030200 KS Equity","SR480")</f>
        <v>7.332913875579834</v>
      </c>
      <c r="Y54">
        <f>_xll.BDP("030200 KS Equity","SR477")</f>
        <v>1.714475154876709</v>
      </c>
    </row>
    <row r="55" spans="1:25" x14ac:dyDescent="0.25">
      <c r="A55" t="s">
        <v>91</v>
      </c>
      <c r="B55" t="str">
        <f>_xll.BDP("IDEA IN Equity","DS192")</f>
        <v>VODAFONE IDEA LT</v>
      </c>
      <c r="C55">
        <f>_xll.BDP("IDEA IN Equity","RR910","DS215=USD","DY339=UNIT")</f>
        <v>10602908850.827978</v>
      </c>
      <c r="D55" t="str">
        <f>_xll.BDP("IDEA IN Equity","DX129")</f>
        <v>IN</v>
      </c>
      <c r="F55" t="str">
        <f>_xll.BDP("IDEA IN Equity","ST058")</f>
        <v>#N/A N/A</v>
      </c>
      <c r="G55" t="str">
        <f>_xll.BDP("IDEA IN Equity","SR468")</f>
        <v>#N/A N/A</v>
      </c>
      <c r="I55" t="str">
        <f>_xll.BDP("IDEA IN Equity","SR001")</f>
        <v>#N/A N/A</v>
      </c>
      <c r="J55" t="str">
        <f>_xll.BDP("IDEA IN Equity","SR002")</f>
        <v>#N/A N/A</v>
      </c>
      <c r="K55" t="str">
        <f>_xll.BDP("IDEA IN Equity","SR267")</f>
        <v>#N/A N/A</v>
      </c>
      <c r="N55" t="str">
        <f>_xll.BDP("IDEA IN Equity","SR238")</f>
        <v>#N/A N/A</v>
      </c>
      <c r="O55" t="str">
        <f>_xll.BDP("IDEA IN Equity","SR205")</f>
        <v>#N/A N/A</v>
      </c>
      <c r="P55" t="str">
        <f>_xll.BDP("IDEA IN Equity","SR211")</f>
        <v>#N/A N/A</v>
      </c>
      <c r="Q55" t="str">
        <f>_xll.BDP("IDEA IN Equity","SR235")</f>
        <v>#N/A N/A</v>
      </c>
      <c r="S55" t="str">
        <f>_xll.BDP("IDEA IN Equity","SR259")</f>
        <v>#N/A N/A</v>
      </c>
      <c r="T55" t="str">
        <f>_xll.BDP("IDEA IN Equity","SR263")</f>
        <v>#N/A N/A</v>
      </c>
      <c r="X55" t="str">
        <f>_xll.BDP("IDEA IN Equity","SR480")</f>
        <v>#N/A N/A</v>
      </c>
      <c r="Y55" t="str">
        <f>_xll.BDP("IDEA IN Equity","SR477")</f>
        <v>#N/A N/A</v>
      </c>
    </row>
    <row r="56" spans="1:25" x14ac:dyDescent="0.25">
      <c r="A56" t="s">
        <v>92</v>
      </c>
      <c r="B56" t="str">
        <f>_xll.BDP("SAFCOM KN Equity","DS192")</f>
        <v>SAFARICOM PLC</v>
      </c>
      <c r="C56">
        <f>_xll.BDP("SAFCOM KN Equity","RR910","DS215=USD","DY339=UNIT")</f>
        <v>9225592191.5965405</v>
      </c>
      <c r="D56" t="str">
        <f>_xll.BDP("SAFCOM KN Equity","DX129")</f>
        <v>KE</v>
      </c>
      <c r="F56">
        <f>_xll.BDP("SAFCOM KN Equity","ST058")</f>
        <v>62.4</v>
      </c>
      <c r="G56">
        <f>_xll.BDP("SAFCOM KN Equity","SR468")</f>
        <v>50.6</v>
      </c>
      <c r="I56">
        <f>_xll.BDP("SAFCOM KN Equity","SR001")</f>
        <v>4.0199999809265137</v>
      </c>
      <c r="J56">
        <f>_xll.BDP("SAFCOM KN Equity","SR002")</f>
        <v>3.0966227054595947</v>
      </c>
      <c r="K56">
        <f>_xll.BDP("SAFCOM KN Equity","SR267")</f>
        <v>0.44117647409439087</v>
      </c>
      <c r="L56" t="s">
        <v>26</v>
      </c>
      <c r="N56">
        <f>_xll.BDP("SAFCOM KN Equity","SR238")</f>
        <v>0</v>
      </c>
      <c r="O56">
        <f>_xll.BDP("SAFCOM KN Equity","SR205")</f>
        <v>6.063878059387207</v>
      </c>
      <c r="P56">
        <f>_xll.BDP("SAFCOM KN Equity","SR211")</f>
        <v>10</v>
      </c>
      <c r="Q56">
        <f>_xll.BDP("SAFCOM KN Equity","SR235")</f>
        <v>0</v>
      </c>
      <c r="S56">
        <f>_xll.BDP("SAFCOM KN Equity","SR259")</f>
        <v>0</v>
      </c>
      <c r="T56">
        <f>_xll.BDP("SAFCOM KN Equity","SR263")</f>
        <v>0.60000002384185791</v>
      </c>
      <c r="U56" t="s">
        <v>22</v>
      </c>
      <c r="V56" t="s">
        <v>27</v>
      </c>
      <c r="X56">
        <f>_xll.BDP("SAFCOM KN Equity","SR480")</f>
        <v>0</v>
      </c>
      <c r="Y56">
        <f>_xll.BDP("SAFCOM KN Equity","SR477")</f>
        <v>6.5689864158630371</v>
      </c>
    </row>
    <row r="57" spans="1:25" x14ac:dyDescent="0.25">
      <c r="A57" t="s">
        <v>93</v>
      </c>
      <c r="B57" t="str">
        <f>_xll.BDP("IAM MC Equity","DS192")</f>
        <v>ITISSA AL-MAGHRI</v>
      </c>
      <c r="C57">
        <f>_xll.BDP("IAM MC Equity","RR910","DS215=USD","DY339=UNIT")</f>
        <v>9101837615.7331371</v>
      </c>
      <c r="D57" t="str">
        <f>_xll.BDP("IAM MC Equity","DX129")</f>
        <v>MA</v>
      </c>
      <c r="F57">
        <f>_xll.BDP("IAM MC Equity","ST058")</f>
        <v>28.8</v>
      </c>
      <c r="G57">
        <f>_xll.BDP("IAM MC Equity","SR468")</f>
        <v>38.799999999999997</v>
      </c>
      <c r="I57">
        <f>_xll.BDP("IAM MC Equity","SR001")</f>
        <v>2.9000000953674316</v>
      </c>
      <c r="J57">
        <f>_xll.BDP("IAM MC Equity","SR002")</f>
        <v>2.6292831897735596</v>
      </c>
      <c r="K57">
        <f>_xll.BDP("IAM MC Equity","SR267")</f>
        <v>0.58823531866073608</v>
      </c>
      <c r="L57" t="s">
        <v>43</v>
      </c>
      <c r="N57">
        <f>_xll.BDP("IAM MC Equity","SR238")</f>
        <v>0</v>
      </c>
      <c r="O57">
        <f>_xll.BDP("IAM MC Equity","SR205")</f>
        <v>4.889833927154541</v>
      </c>
      <c r="P57">
        <f>_xll.BDP("IAM MC Equity","SR211")</f>
        <v>10</v>
      </c>
      <c r="Q57">
        <f>_xll.BDP("IAM MC Equity","SR235")</f>
        <v>0</v>
      </c>
      <c r="S57">
        <f>_xll.BDP("IAM MC Equity","SR259")</f>
        <v>0</v>
      </c>
      <c r="T57">
        <f>_xll.BDP("IAM MC Equity","SR263")</f>
        <v>0.80000001192092896</v>
      </c>
      <c r="U57" t="s">
        <v>22</v>
      </c>
      <c r="V57" t="s">
        <v>44</v>
      </c>
      <c r="X57">
        <f>_xll.BDP("IAM MC Equity","SR480")</f>
        <v>0</v>
      </c>
      <c r="Y57">
        <f>_xll.BDP("IAM MC Equity","SR477")</f>
        <v>3.7774734497070313</v>
      </c>
    </row>
    <row r="58" spans="1:25" x14ac:dyDescent="0.25">
      <c r="A58" t="s">
        <v>94</v>
      </c>
      <c r="B58" t="str">
        <f>_xll.BDP("CDB MK Equity","DS192")</f>
        <v>CELCOMDIGI BHD</v>
      </c>
      <c r="C58">
        <f>_xll.BDP("CDB MK Equity","RR910","DS215=USD","DY339=UNIT")</f>
        <v>8853968505.2528896</v>
      </c>
      <c r="D58" t="str">
        <f>_xll.BDP("CDB MK Equity","DX129")</f>
        <v>MY</v>
      </c>
      <c r="F58">
        <f>_xll.BDP("CDB MK Equity","ST058")</f>
        <v>48.8</v>
      </c>
      <c r="G58">
        <f>_xll.BDP("CDB MK Equity","SR468")</f>
        <v>17.100000000000001</v>
      </c>
      <c r="I58">
        <f>_xll.BDP("CDB MK Equity","SR001")</f>
        <v>3.6600000858306885</v>
      </c>
      <c r="J58">
        <f>_xll.BDP("CDB MK Equity","SR002")</f>
        <v>1.3193209171295166</v>
      </c>
      <c r="K58">
        <f>_xll.BDP("CDB MK Equity","SR267")</f>
        <v>0.58823531866073608</v>
      </c>
      <c r="L58" t="s">
        <v>43</v>
      </c>
      <c r="N58">
        <f>_xll.BDP("CDB MK Equity","SR238")</f>
        <v>0</v>
      </c>
      <c r="O58">
        <f>_xll.BDP("CDB MK Equity","SR205")</f>
        <v>1.5121930837631226</v>
      </c>
      <c r="P58">
        <f>_xll.BDP("CDB MK Equity","SR211")</f>
        <v>10</v>
      </c>
      <c r="Q58">
        <f>_xll.BDP("CDB MK Equity","SR235")</f>
        <v>3.6583123207092285</v>
      </c>
      <c r="S58">
        <f>_xll.BDP("CDB MK Equity","SR259")</f>
        <v>0</v>
      </c>
      <c r="T58">
        <f>_xll.BDP("CDB MK Equity","SR263")</f>
        <v>0.80000001192092896</v>
      </c>
      <c r="U58" t="s">
        <v>22</v>
      </c>
      <c r="V58" t="s">
        <v>44</v>
      </c>
      <c r="X58">
        <f>_xll.BDP("CDB MK Equity","SR480")</f>
        <v>0</v>
      </c>
      <c r="Y58">
        <f>_xll.BDP("CDB MK Equity","SR477")</f>
        <v>0.6894497275352478</v>
      </c>
    </row>
    <row r="59" spans="1:25" x14ac:dyDescent="0.25">
      <c r="A59" t="s">
        <v>95</v>
      </c>
      <c r="B59" t="str">
        <f>_xll.BDP("QBR/B CN Equity","DS192")</f>
        <v>QUEBECOR INC-B</v>
      </c>
      <c r="C59">
        <f>_xll.BDP("QBR/B CN Equity","RR910","DS215=USD","DY339=UNIT")</f>
        <v>8834055200.2888126</v>
      </c>
      <c r="D59" t="str">
        <f>_xll.BDP("QBR/B CN Equity","DX129")</f>
        <v>CA</v>
      </c>
      <c r="F59">
        <f>_xll.BDP("QBR/B CN Equity","ST058")</f>
        <v>47.1</v>
      </c>
      <c r="G59">
        <f>_xll.BDP("QBR/B CN Equity","SR468")</f>
        <v>75.3</v>
      </c>
      <c r="I59">
        <f>_xll.BDP("QBR/B CN Equity","SR001")</f>
        <v>3.5499999523162842</v>
      </c>
      <c r="J59">
        <f>_xll.BDP("QBR/B CN Equity","SR002")</f>
        <v>4.5285978317260742</v>
      </c>
      <c r="K59">
        <f>_xll.BDP("QBR/B CN Equity","SR267")</f>
        <v>0.73529410362243652</v>
      </c>
      <c r="L59" t="s">
        <v>40</v>
      </c>
      <c r="N59">
        <f>_xll.BDP("QBR/B CN Equity","SR238")</f>
        <v>0</v>
      </c>
      <c r="O59">
        <f>_xll.BDP("QBR/B CN Equity","SR205")</f>
        <v>8.7994880676269531</v>
      </c>
      <c r="P59">
        <f>_xll.BDP("QBR/B CN Equity","SR211")</f>
        <v>10</v>
      </c>
      <c r="Q59">
        <f>_xll.BDP("QBR/B CN Equity","SR235")</f>
        <v>7.3120193481445313</v>
      </c>
      <c r="S59">
        <f>_xll.BDP("QBR/B CN Equity","SR259")</f>
        <v>0</v>
      </c>
      <c r="T59">
        <f>_xll.BDP("QBR/B CN Equity","SR263")</f>
        <v>1</v>
      </c>
      <c r="U59" t="s">
        <v>22</v>
      </c>
      <c r="V59" t="s">
        <v>31</v>
      </c>
      <c r="X59">
        <f>_xll.BDP("QBR/B CN Equity","SR480")</f>
        <v>0</v>
      </c>
      <c r="Y59">
        <f>_xll.BDP("QBR/B CN Equity","SR477")</f>
        <v>8.2992753982543945</v>
      </c>
    </row>
    <row r="60" spans="1:25" x14ac:dyDescent="0.25">
      <c r="A60" t="s">
        <v>96</v>
      </c>
      <c r="B60" t="str">
        <f>_xll.BDP("HTO GA Equity","DS192")</f>
        <v>HELLENIC TELECOM</v>
      </c>
      <c r="C60">
        <f>_xll.BDP("HTO GA Equity","RR910","DS215=USD","DY339=UNIT")</f>
        <v>8448497997.609849</v>
      </c>
      <c r="D60" t="str">
        <f>_xll.BDP("HTO GA Equity","DX129")</f>
        <v>GR</v>
      </c>
      <c r="F60">
        <f>_xll.BDP("HTO GA Equity","ST058")</f>
        <v>82.4</v>
      </c>
      <c r="G60">
        <f>_xll.BDP("HTO GA Equity","SR468")</f>
        <v>90.6</v>
      </c>
      <c r="I60">
        <f>_xll.BDP("HTO GA Equity","SR001")</f>
        <v>4.929999828338623</v>
      </c>
      <c r="J60">
        <f>_xll.BDP("HTO GA Equity","SR002")</f>
        <v>6.0366830825805664</v>
      </c>
      <c r="K60">
        <f>_xll.BDP("HTO GA Equity","SR267")</f>
        <v>0.73529410362243652</v>
      </c>
      <c r="L60" t="s">
        <v>40</v>
      </c>
      <c r="N60">
        <f>_xll.BDP("HTO GA Equity","SR238")</f>
        <v>3</v>
      </c>
      <c r="O60">
        <f>_xll.BDP("HTO GA Equity","SR205")</f>
        <v>8.3987255096435547</v>
      </c>
      <c r="P60">
        <f>_xll.BDP("HTO GA Equity","SR211")</f>
        <v>10</v>
      </c>
      <c r="Q60">
        <f>_xll.BDP("HTO GA Equity","SR235")</f>
        <v>3.6583123207092285</v>
      </c>
      <c r="S60">
        <f>_xll.BDP("HTO GA Equity","SR259")</f>
        <v>0</v>
      </c>
      <c r="T60">
        <f>_xll.BDP("HTO GA Equity","SR263")</f>
        <v>1</v>
      </c>
      <c r="U60" t="s">
        <v>22</v>
      </c>
      <c r="V60" t="s">
        <v>31</v>
      </c>
      <c r="X60">
        <f>_xll.BDP("HTO GA Equity","SR480")</f>
        <v>10</v>
      </c>
      <c r="Y60">
        <f>_xll.BDP("HTO GA Equity","SR477")</f>
        <v>7.7315282821655273</v>
      </c>
    </row>
    <row r="61" spans="1:25" x14ac:dyDescent="0.25">
      <c r="A61" t="s">
        <v>97</v>
      </c>
      <c r="B61" t="str">
        <f>_xll.BDP("ELISA FH Equity","DS192")</f>
        <v>ELISA OYJ</v>
      </c>
      <c r="C61">
        <f>_xll.BDP("ELISA FH Equity","RR910","DS215=USD","DY339=UNIT")</f>
        <v>8178507015.4897833</v>
      </c>
      <c r="D61" t="str">
        <f>_xll.BDP("ELISA FH Equity","DX129")</f>
        <v>FI</v>
      </c>
      <c r="F61">
        <f>_xll.BDP("ELISA FH Equity","ST058")</f>
        <v>92.9</v>
      </c>
      <c r="G61">
        <f>_xll.BDP("ELISA FH Equity","SR468")</f>
        <v>88.8</v>
      </c>
      <c r="I61">
        <f>_xll.BDP("ELISA FH Equity","SR001")</f>
        <v>5.5999999046325684</v>
      </c>
      <c r="J61">
        <f>_xll.BDP("ELISA FH Equity","SR002")</f>
        <v>5.9787249565124512</v>
      </c>
      <c r="K61">
        <f>_xll.BDP("ELISA FH Equity","SR267")</f>
        <v>0.94117647409439087</v>
      </c>
      <c r="L61" t="s">
        <v>51</v>
      </c>
      <c r="N61">
        <f>_xll.BDP("ELISA FH Equity","SR238")</f>
        <v>4.5263652801513672</v>
      </c>
      <c r="O61">
        <f>_xll.BDP("ELISA FH Equity","SR205")</f>
        <v>6.8096480369567871</v>
      </c>
      <c r="P61">
        <f>_xll.BDP("ELISA FH Equity","SR211")</f>
        <v>10</v>
      </c>
      <c r="Q61">
        <f>_xll.BDP("ELISA FH Equity","SR235")</f>
        <v>3.6583123207092285</v>
      </c>
      <c r="S61">
        <f>_xll.BDP("ELISA FH Equity","SR259")</f>
        <v>0.77777779102325439</v>
      </c>
      <c r="T61">
        <f>_xll.BDP("ELISA FH Equity","SR263")</f>
        <v>1</v>
      </c>
      <c r="U61" t="s">
        <v>52</v>
      </c>
      <c r="V61" t="s">
        <v>31</v>
      </c>
      <c r="X61">
        <f>_xll.BDP("ELISA FH Equity","SR480")</f>
        <v>3.3750722408294678</v>
      </c>
      <c r="Y61">
        <f>_xll.BDP("ELISA FH Equity","SR477")</f>
        <v>5.4803347587585449</v>
      </c>
    </row>
    <row r="62" spans="1:25" x14ac:dyDescent="0.25">
      <c r="A62" t="s">
        <v>98</v>
      </c>
      <c r="B62" t="str">
        <f>_xll.BDP("BHARTIHE IN Equity","DS192")</f>
        <v>BHARTI HEXACOM L</v>
      </c>
      <c r="C62">
        <f>_xll.BDP("BHARTIHE IN Equity","RR910","DS215=USD","DY339=UNIT")</f>
        <v>8014577517.9740658</v>
      </c>
      <c r="D62" t="str">
        <f>_xll.BDP("BHARTIHE IN Equity","DX129")</f>
        <v>IN</v>
      </c>
      <c r="F62" t="str">
        <f>_xll.BDP("BHARTIHE IN Equity","ST058")</f>
        <v>#N/A N/A</v>
      </c>
      <c r="G62" t="str">
        <f>_xll.BDP("BHARTIHE IN Equity","SR468")</f>
        <v>#N/A N/A</v>
      </c>
      <c r="I62" t="str">
        <f>_xll.BDP("BHARTIHE IN Equity","SR001")</f>
        <v>#N/A N/A</v>
      </c>
      <c r="J62" t="str">
        <f>_xll.BDP("BHARTIHE IN Equity","SR002")</f>
        <v>#N/A N/A</v>
      </c>
      <c r="K62" t="str">
        <f>_xll.BDP("BHARTIHE IN Equity","SR267")</f>
        <v>#N/A N/A</v>
      </c>
      <c r="N62" t="str">
        <f>_xll.BDP("BHARTIHE IN Equity","SR238")</f>
        <v>#N/A N/A</v>
      </c>
      <c r="O62" t="str">
        <f>_xll.BDP("BHARTIHE IN Equity","SR205")</f>
        <v>#N/A N/A</v>
      </c>
      <c r="P62" t="str">
        <f>_xll.BDP("BHARTIHE IN Equity","SR211")</f>
        <v>#N/A N/A</v>
      </c>
      <c r="Q62" t="str">
        <f>_xll.BDP("BHARTIHE IN Equity","SR235")</f>
        <v>#N/A N/A</v>
      </c>
      <c r="S62" t="str">
        <f>_xll.BDP("BHARTIHE IN Equity","SR259")</f>
        <v>#N/A N/A</v>
      </c>
      <c r="T62" t="str">
        <f>_xll.BDP("BHARTIHE IN Equity","SR263")</f>
        <v>#N/A N/A</v>
      </c>
      <c r="X62" t="str">
        <f>_xll.BDP("BHARTIHE IN Equity","SR480")</f>
        <v>#N/A N/A</v>
      </c>
      <c r="Y62" t="str">
        <f>_xll.BDP("BHARTIHE IN Equity","SR477")</f>
        <v>#N/A N/A</v>
      </c>
    </row>
    <row r="63" spans="1:25" x14ac:dyDescent="0.25">
      <c r="A63" t="s">
        <v>99</v>
      </c>
      <c r="B63" t="str">
        <f>_xll.BDP("SIRI US Equity","DS192")</f>
        <v>SIRIUS XM HOLDIN</v>
      </c>
      <c r="C63">
        <f>_xll.BDP("SIRI US Equity","RR910","DS215=USD","DY339=UNIT")</f>
        <v>7976242607.6999998</v>
      </c>
      <c r="D63" t="str">
        <f>_xll.BDP("SIRI US Equity","DX129")</f>
        <v>US</v>
      </c>
      <c r="F63">
        <f>_xll.BDP("SIRI US Equity","ST058")</f>
        <v>19.399999999999999</v>
      </c>
      <c r="G63">
        <f>_xll.BDP("SIRI US Equity","SR468")</f>
        <v>20</v>
      </c>
      <c r="I63">
        <f>_xll.BDP("SIRI US Equity","SR001")</f>
        <v>2.4900000095367432</v>
      </c>
      <c r="J63">
        <f>_xll.BDP("SIRI US Equity","SR002")</f>
        <v>1.4625142812728882</v>
      </c>
      <c r="K63">
        <f>_xll.BDP("SIRI US Equity","SR267")</f>
        <v>0</v>
      </c>
      <c r="L63" t="s">
        <v>22</v>
      </c>
      <c r="N63">
        <f>_xll.BDP("SIRI US Equity","SR238")</f>
        <v>3</v>
      </c>
      <c r="O63">
        <f>_xll.BDP("SIRI US Equity","SR205")</f>
        <v>0</v>
      </c>
      <c r="P63">
        <f>_xll.BDP("SIRI US Equity","SR211")</f>
        <v>10</v>
      </c>
      <c r="Q63">
        <f>_xll.BDP("SIRI US Equity","SR235")</f>
        <v>1.9747449159622192</v>
      </c>
      <c r="S63">
        <f>_xll.BDP("SIRI US Equity","SR259")</f>
        <v>0</v>
      </c>
      <c r="T63">
        <f>_xll.BDP("SIRI US Equity","SR263")</f>
        <v>0</v>
      </c>
      <c r="U63" t="s">
        <v>22</v>
      </c>
      <c r="V63" t="s">
        <v>22</v>
      </c>
      <c r="X63">
        <f>_xll.BDP("SIRI US Equity","SR480")</f>
        <v>10</v>
      </c>
      <c r="Y63">
        <f>_xll.BDP("SIRI US Equity","SR477")</f>
        <v>0</v>
      </c>
    </row>
    <row r="64" spans="1:25" x14ac:dyDescent="0.25">
      <c r="A64" t="s">
        <v>100</v>
      </c>
      <c r="B64" t="str">
        <f>_xll.BDP("ZAIN KK Equity","DS192")</f>
        <v>MOBILE TELECOMMU</v>
      </c>
      <c r="C64">
        <f>_xll.BDP("ZAIN KK Equity","RR910","DS215=USD","DY339=UNIT")</f>
        <v>7870180567.8117809</v>
      </c>
      <c r="D64" t="str">
        <f>_xll.BDP("ZAIN KK Equity","DX129")</f>
        <v>KW</v>
      </c>
      <c r="F64">
        <f>_xll.BDP("ZAIN KK Equity","ST058")</f>
        <v>31.8</v>
      </c>
      <c r="G64">
        <f>_xll.BDP("ZAIN KK Equity","SR468")</f>
        <v>31.8</v>
      </c>
      <c r="I64">
        <f>_xll.BDP("ZAIN KK Equity","SR001")</f>
        <v>2.9800000190734863</v>
      </c>
      <c r="J64">
        <f>_xll.BDP("ZAIN KK Equity","SR002")</f>
        <v>2.3140215873718262</v>
      </c>
      <c r="K64">
        <f>_xll.BDP("ZAIN KK Equity","SR267")</f>
        <v>0.73529410362243652</v>
      </c>
      <c r="L64" t="s">
        <v>40</v>
      </c>
      <c r="N64">
        <f>_xll.BDP("ZAIN KK Equity","SR238")</f>
        <v>0</v>
      </c>
      <c r="O64">
        <f>_xll.BDP("ZAIN KK Equity","SR205")</f>
        <v>4.1194777488708496</v>
      </c>
      <c r="P64">
        <f>_xll.BDP("ZAIN KK Equity","SR211")</f>
        <v>10</v>
      </c>
      <c r="Q64">
        <f>_xll.BDP("ZAIN KK Equity","SR235")</f>
        <v>0</v>
      </c>
      <c r="S64">
        <f>_xll.BDP("ZAIN KK Equity","SR259")</f>
        <v>0</v>
      </c>
      <c r="T64">
        <f>_xll.BDP("ZAIN KK Equity","SR263")</f>
        <v>1</v>
      </c>
      <c r="U64" t="s">
        <v>22</v>
      </c>
      <c r="V64" t="s">
        <v>31</v>
      </c>
      <c r="X64">
        <f>_xll.BDP("ZAIN KK Equity","SR480")</f>
        <v>0</v>
      </c>
      <c r="Y64">
        <f>_xll.BDP("ZAIN KK Equity","SR477")</f>
        <v>1.6692600250244141</v>
      </c>
    </row>
    <row r="65" spans="1:25" x14ac:dyDescent="0.25">
      <c r="A65" t="s">
        <v>101</v>
      </c>
      <c r="B65" t="str">
        <f>_xll.BDP("LUMN US Equity","DS192")</f>
        <v>LUMEN TECHNOLOGI</v>
      </c>
      <c r="C65">
        <f>_xll.BDP("LUMN US Equity","RR910","DS215=USD","DY339=UNIT")</f>
        <v>7664379626.8800001</v>
      </c>
      <c r="D65" t="str">
        <f>_xll.BDP("LUMN US Equity","DX129")</f>
        <v>US</v>
      </c>
      <c r="F65">
        <f>_xll.BDP("LUMN US Equity","ST058")</f>
        <v>52.4</v>
      </c>
      <c r="G65">
        <f>_xll.BDP("LUMN US Equity","SR468")</f>
        <v>47.6</v>
      </c>
      <c r="I65">
        <f>_xll.BDP("LUMN US Equity","SR001")</f>
        <v>3.7400000095367432</v>
      </c>
      <c r="J65">
        <f>_xll.BDP("LUMN US Equity","SR002")</f>
        <v>2.9602091312408447</v>
      </c>
      <c r="K65">
        <f>_xll.BDP("LUMN US Equity","SR267")</f>
        <v>0.73529410362243652</v>
      </c>
      <c r="L65" t="s">
        <v>40</v>
      </c>
      <c r="N65">
        <f>_xll.BDP("LUMN US Equity","SR238")</f>
        <v>3</v>
      </c>
      <c r="O65">
        <f>_xll.BDP("LUMN US Equity","SR205")</f>
        <v>2.3009316921234131</v>
      </c>
      <c r="P65">
        <f>_xll.BDP("LUMN US Equity","SR211")</f>
        <v>10</v>
      </c>
      <c r="Q65">
        <f>_xll.BDP("LUMN US Equity","SR235")</f>
        <v>1.9747449159622192</v>
      </c>
      <c r="S65">
        <f>_xll.BDP("LUMN US Equity","SR259")</f>
        <v>0</v>
      </c>
      <c r="T65">
        <f>_xll.BDP("LUMN US Equity","SR263")</f>
        <v>1</v>
      </c>
      <c r="U65" t="s">
        <v>22</v>
      </c>
      <c r="V65" t="s">
        <v>31</v>
      </c>
      <c r="X65">
        <f>_xll.BDP("LUMN US Equity","SR480")</f>
        <v>10</v>
      </c>
      <c r="Y65">
        <f>_xll.BDP("LUMN US Equity","SR477")</f>
        <v>0.86284935474395752</v>
      </c>
    </row>
    <row r="66" spans="1:25" x14ac:dyDescent="0.25">
      <c r="A66" t="s">
        <v>102</v>
      </c>
      <c r="B66" t="str">
        <f>_xll.BDP("TKA AV Equity","DS192")</f>
        <v>TELEKOM AUSTRIA</v>
      </c>
      <c r="C66">
        <f>_xll.BDP("TKA AV Equity","RR910","DS215=USD","DY339=UNIT")</f>
        <v>7416540649.8938532</v>
      </c>
      <c r="D66" t="str">
        <f>_xll.BDP("TKA AV Equity","DX129")</f>
        <v>AT</v>
      </c>
      <c r="F66">
        <f>_xll.BDP("TKA AV Equity","ST058")</f>
        <v>59.4</v>
      </c>
      <c r="G66">
        <f>_xll.BDP("TKA AV Equity","SR468")</f>
        <v>82.9</v>
      </c>
      <c r="I66">
        <f>_xll.BDP("TKA AV Equity","SR001")</f>
        <v>3.9700000286102295</v>
      </c>
      <c r="J66">
        <f>_xll.BDP("TKA AV Equity","SR002")</f>
        <v>5.5202813148498535</v>
      </c>
      <c r="K66">
        <f>_xll.BDP("TKA AV Equity","SR267")</f>
        <v>0.73529410362243652</v>
      </c>
      <c r="L66" t="s">
        <v>40</v>
      </c>
      <c r="N66">
        <f>_xll.BDP("TKA AV Equity","SR238")</f>
        <v>3</v>
      </c>
      <c r="O66">
        <f>_xll.BDP("TKA AV Equity","SR205")</f>
        <v>7.2551755905151367</v>
      </c>
      <c r="P66">
        <f>_xll.BDP("TKA AV Equity","SR211")</f>
        <v>10</v>
      </c>
      <c r="Q66">
        <f>_xll.BDP("TKA AV Equity","SR235")</f>
        <v>3.6583123207092285</v>
      </c>
      <c r="S66">
        <f>_xll.BDP("TKA AV Equity","SR259")</f>
        <v>0</v>
      </c>
      <c r="T66">
        <f>_xll.BDP("TKA AV Equity","SR263")</f>
        <v>1</v>
      </c>
      <c r="U66" t="s">
        <v>22</v>
      </c>
      <c r="V66" t="s">
        <v>31</v>
      </c>
      <c r="X66">
        <f>_xll.BDP("TKA AV Equity","SR480")</f>
        <v>10</v>
      </c>
      <c r="Y66">
        <f>_xll.BDP("TKA AV Equity","SR477")</f>
        <v>6.1114988327026367</v>
      </c>
    </row>
    <row r="67" spans="1:25" x14ac:dyDescent="0.25">
      <c r="A67" t="s">
        <v>103</v>
      </c>
      <c r="B67" t="str">
        <f>_xll.BDP("O2D GR Equity","DS192")</f>
        <v>TELEFONICA DEUTS</v>
      </c>
      <c r="C67">
        <f>_xll.BDP("O2D GR Equity","RR910","DS215=USD","DY339=UNIT")</f>
        <v>7404651623.2067165</v>
      </c>
      <c r="D67" t="str">
        <f>_xll.BDP("O2D GR Equity","DX129")</f>
        <v>DE</v>
      </c>
      <c r="F67">
        <f>_xll.BDP("O2D GR Equity","ST058")</f>
        <v>98.8</v>
      </c>
      <c r="G67">
        <f>_xll.BDP("O2D GR Equity","SR468")</f>
        <v>100</v>
      </c>
      <c r="I67">
        <f>_xll.BDP("O2D GR Equity","SR001")</f>
        <v>6.320000171661377</v>
      </c>
      <c r="J67">
        <f>_xll.BDP("O2D GR Equity","SR002")</f>
        <v>8.3339452743530273</v>
      </c>
      <c r="K67">
        <f>_xll.BDP("O2D GR Equity","SR267")</f>
        <v>1</v>
      </c>
      <c r="L67" t="s">
        <v>31</v>
      </c>
      <c r="N67">
        <f>_xll.BDP("O2D GR Equity","SR238")</f>
        <v>8.7395343780517578</v>
      </c>
      <c r="O67">
        <f>_xll.BDP("O2D GR Equity","SR205")</f>
        <v>8.9143581390380859</v>
      </c>
      <c r="P67">
        <f>_xll.BDP("O2D GR Equity","SR211")</f>
        <v>10</v>
      </c>
      <c r="Q67">
        <f>_xll.BDP("O2D GR Equity","SR235")</f>
        <v>0</v>
      </c>
      <c r="S67">
        <f>_xll.BDP("O2D GR Equity","SR259")</f>
        <v>1</v>
      </c>
      <c r="T67">
        <f>_xll.BDP("O2D GR Equity","SR263")</f>
        <v>1</v>
      </c>
      <c r="U67" t="s">
        <v>31</v>
      </c>
      <c r="V67" t="s">
        <v>31</v>
      </c>
      <c r="X67">
        <f>_xll.BDP("O2D GR Equity","SR480")</f>
        <v>8.2143402099609375</v>
      </c>
      <c r="Y67">
        <f>_xll.BDP("O2D GR Equity","SR477")</f>
        <v>8.4620075225830078</v>
      </c>
    </row>
    <row r="68" spans="1:25" x14ac:dyDescent="0.25">
      <c r="A68" t="s">
        <v>104</v>
      </c>
      <c r="B68" t="str">
        <f>_xll.BDP("BEZQ IT Equity","DS192")</f>
        <v>BEZEQ THE ISRAEL</v>
      </c>
      <c r="C68">
        <f>_xll.BDP("BEZQ IT Equity","RR910","DS215=USD","DY339=UNIT")</f>
        <v>7329132807.272047</v>
      </c>
      <c r="D68" t="str">
        <f>_xll.BDP("BEZQ IT Equity","DX129")</f>
        <v>IL</v>
      </c>
      <c r="F68">
        <f>_xll.BDP("BEZQ IT Equity","ST058")</f>
        <v>54.7</v>
      </c>
      <c r="G68">
        <f>_xll.BDP("BEZQ IT Equity","SR468")</f>
        <v>35.299999999999997</v>
      </c>
      <c r="I68">
        <f>_xll.BDP("BEZQ IT Equity","SR001")</f>
        <v>3.8199999332427979</v>
      </c>
      <c r="J68">
        <f>_xll.BDP("BEZQ IT Equity","SR002")</f>
        <v>2.4096546173095703</v>
      </c>
      <c r="K68">
        <f>_xll.BDP("BEZQ IT Equity","SR267")</f>
        <v>0.73529410362243652</v>
      </c>
      <c r="L68" t="s">
        <v>40</v>
      </c>
      <c r="N68">
        <f>_xll.BDP("BEZQ IT Equity","SR238")</f>
        <v>0</v>
      </c>
      <c r="O68">
        <f>_xll.BDP("BEZQ IT Equity","SR205")</f>
        <v>4.3511385917663574</v>
      </c>
      <c r="P68">
        <f>_xll.BDP("BEZQ IT Equity","SR211")</f>
        <v>10</v>
      </c>
      <c r="Q68">
        <f>_xll.BDP("BEZQ IT Equity","SR235")</f>
        <v>0</v>
      </c>
      <c r="S68">
        <f>_xll.BDP("BEZQ IT Equity","SR259")</f>
        <v>0</v>
      </c>
      <c r="T68">
        <f>_xll.BDP("BEZQ IT Equity","SR263")</f>
        <v>1</v>
      </c>
      <c r="U68" t="s">
        <v>22</v>
      </c>
      <c r="V68" t="s">
        <v>31</v>
      </c>
      <c r="X68">
        <f>_xll.BDP("BEZQ IT Equity","SR480")</f>
        <v>0</v>
      </c>
      <c r="Y68">
        <f>_xll.BDP("BEZQ IT Equity","SR477")</f>
        <v>1.9974461793899536</v>
      </c>
    </row>
    <row r="69" spans="1:25" x14ac:dyDescent="0.25">
      <c r="A69" t="s">
        <v>105</v>
      </c>
      <c r="B69" t="str">
        <f>_xll.BDP("LBRDA US Equity","DS192")</f>
        <v>LIBERTY BR-A</v>
      </c>
      <c r="C69">
        <f>_xll.BDP("LBRDA US Equity","RR910","DS215=USD","DY339=UNIT")</f>
        <v>7333974476.5899992</v>
      </c>
      <c r="D69" t="str">
        <f>_xll.BDP("LBRDA US Equity","DX129")</f>
        <v>US</v>
      </c>
      <c r="F69">
        <f>_xll.BDP("LBRDA US Equity","ST058")</f>
        <v>2.9</v>
      </c>
      <c r="G69">
        <f>_xll.BDP("LBRDA US Equity","SR468")</f>
        <v>1.5</v>
      </c>
      <c r="I69">
        <f>_xll.BDP("LBRDA US Equity","SR001")</f>
        <v>1.1200000047683716</v>
      </c>
      <c r="J69">
        <f>_xll.BDP("LBRDA US Equity","SR002")</f>
        <v>6.5563730895519257E-2</v>
      </c>
      <c r="K69">
        <f>_xll.BDP("LBRDA US Equity","SR267")</f>
        <v>0</v>
      </c>
      <c r="L69" t="s">
        <v>22</v>
      </c>
      <c r="N69">
        <f>_xll.BDP("LBRDA US Equity","SR238")</f>
        <v>0</v>
      </c>
      <c r="O69">
        <f>_xll.BDP("LBRDA US Equity","SR205")</f>
        <v>0</v>
      </c>
      <c r="P69">
        <f>_xll.BDP("LBRDA US Equity","SR211")</f>
        <v>0</v>
      </c>
      <c r="Q69">
        <f>_xll.BDP("LBRDA US Equity","SR235")</f>
        <v>1.9747449159622192</v>
      </c>
      <c r="S69">
        <f>_xll.BDP("LBRDA US Equity","SR259")</f>
        <v>0</v>
      </c>
      <c r="T69">
        <f>_xll.BDP("LBRDA US Equity","SR263")</f>
        <v>0</v>
      </c>
      <c r="U69" t="s">
        <v>22</v>
      </c>
      <c r="V69" t="s">
        <v>22</v>
      </c>
      <c r="X69">
        <f>_xll.BDP("LBRDA US Equity","SR480")</f>
        <v>0</v>
      </c>
      <c r="Y69">
        <f>_xll.BDP("LBRDA US Equity","SR477")</f>
        <v>0</v>
      </c>
    </row>
    <row r="70" spans="1:25" x14ac:dyDescent="0.25">
      <c r="A70" t="s">
        <v>106</v>
      </c>
      <c r="B70" t="str">
        <f>_xll.BDP("MTELEKOM HB Equity","DS192")</f>
        <v>MAGYAR TELEKOM</v>
      </c>
      <c r="C70">
        <f>_xll.BDP("MTELEKOM HB Equity","RR910","DS215=USD","DY339=UNIT")</f>
        <v>6969725624.3460283</v>
      </c>
      <c r="D70" t="str">
        <f>_xll.BDP("MTELEKOM HB Equity","DX129")</f>
        <v>HU</v>
      </c>
      <c r="F70">
        <f>_xll.BDP("MTELEKOM HB Equity","ST058")</f>
        <v>62.4</v>
      </c>
      <c r="G70">
        <f>_xll.BDP("MTELEKOM HB Equity","SR468")</f>
        <v>91.8</v>
      </c>
      <c r="I70">
        <f>_xll.BDP("MTELEKOM HB Equity","SR001")</f>
        <v>4.0199999809265137</v>
      </c>
      <c r="J70">
        <f>_xll.BDP("MTELEKOM HB Equity","SR002")</f>
        <v>6.1332406997680664</v>
      </c>
      <c r="K70">
        <f>_xll.BDP("MTELEKOM HB Equity","SR267")</f>
        <v>0.73529410362243652</v>
      </c>
      <c r="L70" t="s">
        <v>40</v>
      </c>
      <c r="N70">
        <f>_xll.BDP("MTELEKOM HB Equity","SR238")</f>
        <v>3</v>
      </c>
      <c r="O70">
        <f>_xll.BDP("MTELEKOM HB Equity","SR205")</f>
        <v>8.6158552169799805</v>
      </c>
      <c r="P70">
        <f>_xll.BDP("MTELEKOM HB Equity","SR211")</f>
        <v>10</v>
      </c>
      <c r="Q70">
        <f>_xll.BDP("MTELEKOM HB Equity","SR235")</f>
        <v>3.6583123207092285</v>
      </c>
      <c r="S70">
        <f>_xll.BDP("MTELEKOM HB Equity","SR259")</f>
        <v>0</v>
      </c>
      <c r="T70">
        <f>_xll.BDP("MTELEKOM HB Equity","SR263")</f>
        <v>1</v>
      </c>
      <c r="U70" t="s">
        <v>22</v>
      </c>
      <c r="V70" t="s">
        <v>31</v>
      </c>
      <c r="X70">
        <f>_xll.BDP("MTELEKOM HB Equity","SR480")</f>
        <v>10</v>
      </c>
      <c r="Y70">
        <f>_xll.BDP("MTELEKOM HB Equity","SR477")</f>
        <v>8.039128303527832</v>
      </c>
    </row>
    <row r="71" spans="1:25" x14ac:dyDescent="0.25">
      <c r="A71" t="s">
        <v>107</v>
      </c>
      <c r="B71" t="str">
        <f>_xll.BDP("MAXIS MK Equity","DS192")</f>
        <v>MAXIS BHD</v>
      </c>
      <c r="C71">
        <f>_xll.BDP("MAXIS MK Equity","RR910","DS215=USD","DY339=UNIT")</f>
        <v>6957949518.707365</v>
      </c>
      <c r="D71" t="str">
        <f>_xll.BDP("MAXIS MK Equity","DX129")</f>
        <v>MY</v>
      </c>
      <c r="F71">
        <f>_xll.BDP("MAXIS MK Equity","ST058")</f>
        <v>36.5</v>
      </c>
      <c r="G71">
        <f>_xll.BDP("MAXIS MK Equity","SR468")</f>
        <v>25.3</v>
      </c>
      <c r="I71">
        <f>_xll.BDP("MAXIS MK Equity","SR001")</f>
        <v>3.1600000858306885</v>
      </c>
      <c r="J71">
        <f>_xll.BDP("MAXIS MK Equity","SR002")</f>
        <v>1.9144835472106934</v>
      </c>
      <c r="K71">
        <f>_xll.BDP("MAXIS MK Equity","SR267")</f>
        <v>0.29411765933036804</v>
      </c>
      <c r="L71" t="s">
        <v>21</v>
      </c>
      <c r="N71">
        <f>_xll.BDP("MAXIS MK Equity","SR238")</f>
        <v>0</v>
      </c>
      <c r="O71">
        <f>_xll.BDP("MAXIS MK Equity","SR205")</f>
        <v>2.5345625877380371</v>
      </c>
      <c r="P71">
        <f>_xll.BDP("MAXIS MK Equity","SR211")</f>
        <v>10</v>
      </c>
      <c r="Q71">
        <f>_xll.BDP("MAXIS MK Equity","SR235")</f>
        <v>7.3120193481445313</v>
      </c>
      <c r="S71">
        <f>_xll.BDP("MAXIS MK Equity","SR259")</f>
        <v>0</v>
      </c>
      <c r="T71">
        <f>_xll.BDP("MAXIS MK Equity","SR263")</f>
        <v>0.40000000596046448</v>
      </c>
      <c r="U71" t="s">
        <v>22</v>
      </c>
      <c r="V71" t="s">
        <v>23</v>
      </c>
      <c r="X71">
        <f>_xll.BDP("MAXIS MK Equity","SR480")</f>
        <v>0</v>
      </c>
      <c r="Y71">
        <f>_xll.BDP("MAXIS MK Equity","SR477")</f>
        <v>2.5165455341339111</v>
      </c>
    </row>
    <row r="72" spans="1:25" x14ac:dyDescent="0.25">
      <c r="A72" t="s">
        <v>108</v>
      </c>
      <c r="B72" t="str">
        <f>_xll.BDP("T MK Equity","DS192")</f>
        <v>TELEKOM MALAYSIA</v>
      </c>
      <c r="C72">
        <f>_xll.BDP("T MK Equity","RR910","DS215=USD","DY339=UNIT")</f>
        <v>6748627073.9117584</v>
      </c>
      <c r="D72" t="str">
        <f>_xll.BDP("T MK Equity","DX129")</f>
        <v>MY</v>
      </c>
      <c r="F72">
        <f>_xll.BDP("T MK Equity","ST058")</f>
        <v>51.2</v>
      </c>
      <c r="G72">
        <f>_xll.BDP("T MK Equity","SR468")</f>
        <v>44.7</v>
      </c>
      <c r="I72">
        <f>_xll.BDP("T MK Equity","SR001")</f>
        <v>3.7300000190734863</v>
      </c>
      <c r="J72">
        <f>_xll.BDP("T MK Equity","SR002")</f>
        <v>2.8476836681365967</v>
      </c>
      <c r="K72">
        <f>_xll.BDP("T MK Equity","SR267")</f>
        <v>0.73529410362243652</v>
      </c>
      <c r="L72" t="s">
        <v>40</v>
      </c>
      <c r="N72">
        <f>_xll.BDP("T MK Equity","SR238")</f>
        <v>0</v>
      </c>
      <c r="O72">
        <f>_xll.BDP("T MK Equity","SR205")</f>
        <v>4.9363036155700684</v>
      </c>
      <c r="P72">
        <f>_xll.BDP("T MK Equity","SR211")</f>
        <v>10</v>
      </c>
      <c r="Q72">
        <f>_xll.BDP("T MK Equity","SR235")</f>
        <v>3.6583123207092285</v>
      </c>
      <c r="S72">
        <f>_xll.BDP("T MK Equity","SR259")</f>
        <v>0</v>
      </c>
      <c r="T72">
        <f>_xll.BDP("T MK Equity","SR263")</f>
        <v>1</v>
      </c>
      <c r="U72" t="s">
        <v>22</v>
      </c>
      <c r="V72" t="s">
        <v>31</v>
      </c>
      <c r="X72">
        <f>_xll.BDP("T MK Equity","SR480")</f>
        <v>0</v>
      </c>
      <c r="Y72">
        <f>_xll.BDP("T MK Equity","SR477")</f>
        <v>2.826430082321167</v>
      </c>
    </row>
    <row r="73" spans="1:25" x14ac:dyDescent="0.25">
      <c r="A73" t="s">
        <v>109</v>
      </c>
      <c r="B73" t="str">
        <f>_xll.BDP("MTNGH GN Equity","DS192")</f>
        <v>SCANCOM PLC</v>
      </c>
      <c r="C73">
        <f>_xll.BDP("MTNGH GN Equity","RR910","DS215=USD","DY339=UNIT")</f>
        <v>6627547047.1638651</v>
      </c>
      <c r="D73" t="str">
        <f>_xll.BDP("MTNGH GN Equity","DX129")</f>
        <v>GH</v>
      </c>
      <c r="F73">
        <f>_xll.BDP("MTNGH GN Equity","ST058")</f>
        <v>61.2</v>
      </c>
      <c r="G73">
        <f>_xll.BDP("MTNGH GN Equity","SR468")</f>
        <v>56.5</v>
      </c>
      <c r="I73">
        <f>_xll.BDP("MTNGH GN Equity","SR001")</f>
        <v>4.0100002288818359</v>
      </c>
      <c r="J73">
        <f>_xll.BDP("MTNGH GN Equity","SR002")</f>
        <v>3.4274446964263916</v>
      </c>
      <c r="K73">
        <f>_xll.BDP("MTNGH GN Equity","SR267")</f>
        <v>0.44117647409439087</v>
      </c>
      <c r="L73" t="s">
        <v>26</v>
      </c>
      <c r="N73">
        <f>_xll.BDP("MTNGH GN Equity","SR238")</f>
        <v>0</v>
      </c>
      <c r="O73">
        <f>_xll.BDP("MTNGH GN Equity","SR205")</f>
        <v>6.9150052070617676</v>
      </c>
      <c r="P73">
        <f>_xll.BDP("MTNGH GN Equity","SR211")</f>
        <v>10</v>
      </c>
      <c r="Q73">
        <f>_xll.BDP("MTNGH GN Equity","SR235")</f>
        <v>0</v>
      </c>
      <c r="S73">
        <f>_xll.BDP("MTNGH GN Equity","SR259")</f>
        <v>0</v>
      </c>
      <c r="T73">
        <f>_xll.BDP("MTNGH GN Equity","SR263")</f>
        <v>0.60000002384185791</v>
      </c>
      <c r="U73" t="s">
        <v>22</v>
      </c>
      <c r="V73" t="s">
        <v>27</v>
      </c>
      <c r="X73">
        <f>_xll.BDP("MTNGH GN Equity","SR480")</f>
        <v>0</v>
      </c>
      <c r="Y73">
        <f>_xll.BDP("MTNGH GN Equity","SR477")</f>
        <v>7.8073630332946777</v>
      </c>
    </row>
    <row r="74" spans="1:25" x14ac:dyDescent="0.25">
      <c r="A74" t="s">
        <v>110</v>
      </c>
      <c r="B74" t="str">
        <f>_xll.BDP("UTDI GR Equity","DS192")</f>
        <v>UNITED INTERN-RE</v>
      </c>
      <c r="C74">
        <f>_xll.BDP("UTDI GR Equity","RR910","DS215=USD","DY339=UNIT")</f>
        <v>6260491879.2386322</v>
      </c>
      <c r="D74" t="str">
        <f>_xll.BDP("UTDI GR Equity","DX129")</f>
        <v>DE</v>
      </c>
      <c r="F74">
        <f>_xll.BDP("UTDI GR Equity","ST058")</f>
        <v>85.9</v>
      </c>
      <c r="G74">
        <f>_xll.BDP("UTDI GR Equity","SR468")</f>
        <v>95.3</v>
      </c>
      <c r="I74">
        <f>_xll.BDP("UTDI GR Equity","SR001")</f>
        <v>5</v>
      </c>
      <c r="J74">
        <f>_xll.BDP("UTDI GR Equity","SR002")</f>
        <v>6.615931510925293</v>
      </c>
      <c r="K74">
        <f>_xll.BDP("UTDI GR Equity","SR267")</f>
        <v>0.79411762952804565</v>
      </c>
      <c r="L74" t="s">
        <v>29</v>
      </c>
      <c r="N74">
        <f>_xll.BDP("UTDI GR Equity","SR238")</f>
        <v>3.4485857486724854</v>
      </c>
      <c r="O74">
        <f>_xll.BDP("UTDI GR Equity","SR205")</f>
        <v>9.4535255432128906</v>
      </c>
      <c r="P74">
        <f>_xll.BDP("UTDI GR Equity","SR211")</f>
        <v>10</v>
      </c>
      <c r="Q74">
        <f>_xll.BDP("UTDI GR Equity","SR235")</f>
        <v>1.9747449159622192</v>
      </c>
      <c r="S74">
        <f>_xll.BDP("UTDI GR Equity","SR259")</f>
        <v>0.2222222238779068</v>
      </c>
      <c r="T74">
        <f>_xll.BDP("UTDI GR Equity","SR263")</f>
        <v>1</v>
      </c>
      <c r="U74" t="s">
        <v>30</v>
      </c>
      <c r="V74" t="s">
        <v>31</v>
      </c>
      <c r="X74">
        <f>_xll.BDP("UTDI GR Equity","SR480")</f>
        <v>5.2115116119384766</v>
      </c>
      <c r="Y74">
        <f>_xll.BDP("UTDI GR Equity","SR477")</f>
        <v>9.2258281707763672</v>
      </c>
    </row>
    <row r="75" spans="1:25" x14ac:dyDescent="0.25">
      <c r="A75" t="s">
        <v>111</v>
      </c>
      <c r="B75" t="str">
        <f>_xll.BDP("8 HK Equity","DS192")</f>
        <v>PCCW LTD</v>
      </c>
      <c r="C75">
        <f>_xll.BDP("8 HK Equity","RR910","DS215=USD","DY339=UNIT")</f>
        <v>5954947561.4936256</v>
      </c>
      <c r="D75" t="str">
        <f>_xll.BDP("8 HK Equity","DX129")</f>
        <v>HK</v>
      </c>
      <c r="F75">
        <f>_xll.BDP("8 HK Equity","ST058")</f>
        <v>84.1</v>
      </c>
      <c r="G75">
        <f>_xll.BDP("8 HK Equity","SR468")</f>
        <v>66.5</v>
      </c>
      <c r="I75">
        <f>_xll.BDP("8 HK Equity","SR001")</f>
        <v>4.9499998092651367</v>
      </c>
      <c r="J75">
        <f>_xll.BDP("8 HK Equity","SR002")</f>
        <v>4.0662274360656738</v>
      </c>
      <c r="K75">
        <f>_xll.BDP("8 HK Equity","SR267")</f>
        <v>0.64705884456634521</v>
      </c>
      <c r="L75" t="s">
        <v>56</v>
      </c>
      <c r="N75">
        <f>_xll.BDP("8 HK Equity","SR238")</f>
        <v>3</v>
      </c>
      <c r="O75">
        <f>_xll.BDP("8 HK Equity","SR205")</f>
        <v>4.2242240905761719</v>
      </c>
      <c r="P75">
        <f>_xll.BDP("8 HK Equity","SR211")</f>
        <v>10</v>
      </c>
      <c r="Q75">
        <f>_xll.BDP("8 HK Equity","SR235")</f>
        <v>3.6583123207092285</v>
      </c>
      <c r="S75">
        <f>_xll.BDP("8 HK Equity","SR259")</f>
        <v>0</v>
      </c>
      <c r="T75">
        <f>_xll.BDP("8 HK Equity","SR263")</f>
        <v>0.80000001192092896</v>
      </c>
      <c r="U75" t="s">
        <v>22</v>
      </c>
      <c r="V75" t="s">
        <v>44</v>
      </c>
      <c r="X75">
        <f>_xll.BDP("8 HK Equity","SR480")</f>
        <v>10</v>
      </c>
      <c r="Y75">
        <f>_xll.BDP("8 HK Equity","SR477")</f>
        <v>2.8299324512481689</v>
      </c>
    </row>
    <row r="76" spans="1:25" x14ac:dyDescent="0.25">
      <c r="A76" t="s">
        <v>112</v>
      </c>
      <c r="B76" t="str">
        <f>_xll.BDP("TPG AU Equity","DS192")</f>
        <v>TPG TELECOM LTD</v>
      </c>
      <c r="C76">
        <f>_xll.BDP("TPG AU Equity","RR910","DS215=USD","DY339=UNIT")</f>
        <v>5894113735.1380758</v>
      </c>
      <c r="D76" t="str">
        <f>_xll.BDP("TPG AU Equity","DX129")</f>
        <v>AU</v>
      </c>
      <c r="F76">
        <f>_xll.BDP("TPG AU Equity","ST058")</f>
        <v>30.6</v>
      </c>
      <c r="G76">
        <f>_xll.BDP("TPG AU Equity","SR468")</f>
        <v>50</v>
      </c>
      <c r="I76">
        <f>_xll.BDP("TPG AU Equity","SR001")</f>
        <v>2.940000057220459</v>
      </c>
      <c r="J76">
        <f>_xll.BDP("TPG AU Equity","SR002")</f>
        <v>3.0764186382293701</v>
      </c>
      <c r="K76">
        <f>_xll.BDP("TPG AU Equity","SR267")</f>
        <v>0.73529410362243652</v>
      </c>
      <c r="L76" t="s">
        <v>40</v>
      </c>
      <c r="N76">
        <f>_xll.BDP("TPG AU Equity","SR238")</f>
        <v>0</v>
      </c>
      <c r="O76">
        <f>_xll.BDP("TPG AU Equity","SR205")</f>
        <v>5.492314338684082</v>
      </c>
      <c r="P76">
        <f>_xll.BDP("TPG AU Equity","SR211")</f>
        <v>10</v>
      </c>
      <c r="Q76">
        <f>_xll.BDP("TPG AU Equity","SR235")</f>
        <v>3.6583123207092285</v>
      </c>
      <c r="S76">
        <f>_xll.BDP("TPG AU Equity","SR259")</f>
        <v>0</v>
      </c>
      <c r="T76">
        <f>_xll.BDP("TPG AU Equity","SR263")</f>
        <v>1</v>
      </c>
      <c r="U76" t="s">
        <v>22</v>
      </c>
      <c r="V76" t="s">
        <v>31</v>
      </c>
      <c r="X76">
        <f>_xll.BDP("TPG AU Equity","SR480")</f>
        <v>0</v>
      </c>
      <c r="Y76">
        <f>_xll.BDP("TPG AU Equity","SR477")</f>
        <v>3.6141121387481689</v>
      </c>
    </row>
    <row r="77" spans="1:25" x14ac:dyDescent="0.25">
      <c r="A77" t="s">
        <v>113</v>
      </c>
      <c r="B77" t="str">
        <f>_xll.BDP("TCELL TI Equity","DS192")</f>
        <v>TURKCELL</v>
      </c>
      <c r="C77">
        <f>_xll.BDP("TCELL TI Equity","RR910","DS215=USD","DY339=UNIT")</f>
        <v>5773064104.6866274</v>
      </c>
      <c r="D77" t="str">
        <f>_xll.BDP("TCELL TI Equity","DX129")</f>
        <v>TR</v>
      </c>
      <c r="F77">
        <f>_xll.BDP("TCELL TI Equity","ST058")</f>
        <v>57.4</v>
      </c>
      <c r="G77">
        <f>_xll.BDP("TCELL TI Equity","SR468")</f>
        <v>64.7</v>
      </c>
      <c r="I77">
        <f>_xll.BDP("TCELL TI Equity","SR001")</f>
        <v>3.9100000858306885</v>
      </c>
      <c r="J77">
        <f>_xll.BDP("TCELL TI Equity","SR002")</f>
        <v>3.9991936683654785</v>
      </c>
      <c r="K77">
        <f>_xll.BDP("TCELL TI Equity","SR267")</f>
        <v>0.73529410362243652</v>
      </c>
      <c r="L77" t="s">
        <v>40</v>
      </c>
      <c r="N77">
        <f>_xll.BDP("TCELL TI Equity","SR238")</f>
        <v>0</v>
      </c>
      <c r="O77">
        <f>_xll.BDP("TCELL TI Equity","SR205")</f>
        <v>7.8149843215942383</v>
      </c>
      <c r="P77">
        <f>_xll.BDP("TCELL TI Equity","SR211")</f>
        <v>10</v>
      </c>
      <c r="Q77">
        <f>_xll.BDP("TCELL TI Equity","SR235")</f>
        <v>3.6583123207092285</v>
      </c>
      <c r="S77">
        <f>_xll.BDP("TCELL TI Equity","SR259")</f>
        <v>0</v>
      </c>
      <c r="T77">
        <f>_xll.BDP("TCELL TI Equity","SR263")</f>
        <v>1</v>
      </c>
      <c r="U77" t="s">
        <v>22</v>
      </c>
      <c r="V77" t="s">
        <v>31</v>
      </c>
      <c r="X77">
        <f>_xll.BDP("TCELL TI Equity","SR480")</f>
        <v>0</v>
      </c>
      <c r="Y77">
        <f>_xll.BDP("TCELL TI Equity","SR477")</f>
        <v>6.9045615196228027</v>
      </c>
    </row>
    <row r="78" spans="1:25" x14ac:dyDescent="0.25">
      <c r="A78" t="s">
        <v>114</v>
      </c>
      <c r="B78" t="str">
        <f>_xll.BDP("TECO2 AR Equity","DS192")</f>
        <v>TELECOM ARGENT-B</v>
      </c>
      <c r="C78">
        <f>_xll.BDP("TECO2 AR Equity","RR910","DS215=USD","DY339=UNIT")</f>
        <v>5306980087.3592577</v>
      </c>
      <c r="D78" t="str">
        <f>_xll.BDP("TECO2 AR Equity","DX129")</f>
        <v>AR</v>
      </c>
      <c r="F78">
        <f>_xll.BDP("TECO2 AR Equity","ST058")</f>
        <v>64.7</v>
      </c>
      <c r="G78">
        <f>_xll.BDP("TECO2 AR Equity","SR468")</f>
        <v>42.9</v>
      </c>
      <c r="I78">
        <f>_xll.BDP("TECO2 AR Equity","SR001")</f>
        <v>4.0999999046325684</v>
      </c>
      <c r="J78">
        <f>_xll.BDP("TECO2 AR Equity","SR002")</f>
        <v>2.8170807361602783</v>
      </c>
      <c r="K78">
        <f>_xll.BDP("TECO2 AR Equity","SR267")</f>
        <v>0.73529410362243652</v>
      </c>
      <c r="L78" t="s">
        <v>40</v>
      </c>
      <c r="N78">
        <f>_xll.BDP("TECO2 AR Equity","SR238")</f>
        <v>0</v>
      </c>
      <c r="O78">
        <f>_xll.BDP("TECO2 AR Equity","SR205")</f>
        <v>4.8625965118408203</v>
      </c>
      <c r="P78">
        <f>_xll.BDP("TECO2 AR Equity","SR211")</f>
        <v>10</v>
      </c>
      <c r="Q78">
        <f>_xll.BDP("TECO2 AR Equity","SR235")</f>
        <v>3.6583123207092285</v>
      </c>
      <c r="S78">
        <f>_xll.BDP("TECO2 AR Equity","SR259")</f>
        <v>0</v>
      </c>
      <c r="T78">
        <f>_xll.BDP("TECO2 AR Equity","SR263")</f>
        <v>1</v>
      </c>
      <c r="U78" t="s">
        <v>22</v>
      </c>
      <c r="V78" t="s">
        <v>31</v>
      </c>
      <c r="X78">
        <f>_xll.BDP("TECO2 AR Equity","SR480")</f>
        <v>0</v>
      </c>
      <c r="Y78">
        <f>_xll.BDP("TECO2 AR Equity","SR477")</f>
        <v>2.7220118045806885</v>
      </c>
    </row>
    <row r="79" spans="1:25" x14ac:dyDescent="0.25">
      <c r="A79" t="s">
        <v>115</v>
      </c>
      <c r="B79" t="str">
        <f>_xll.BDP("TDS US Equity","DS192")</f>
        <v>TELEPHONE &amp; DATA</v>
      </c>
      <c r="C79">
        <f>_xll.BDP("TDS US Equity","RR910","DS215=USD","DY339=UNIT")</f>
        <v>5218466535.1199999</v>
      </c>
      <c r="D79" t="str">
        <f>_xll.BDP("TDS US Equity","DX129")</f>
        <v>US</v>
      </c>
      <c r="F79">
        <f>_xll.BDP("TDS US Equity","ST058")</f>
        <v>34.4</v>
      </c>
      <c r="G79">
        <f>_xll.BDP("TDS US Equity","SR468")</f>
        <v>55.9</v>
      </c>
      <c r="I79">
        <f>_xll.BDP("TDS US Equity","SR001")</f>
        <v>3.0899999141693115</v>
      </c>
      <c r="J79">
        <f>_xll.BDP("TDS US Equity","SR002")</f>
        <v>3.4254541397094727</v>
      </c>
      <c r="K79">
        <f>_xll.BDP("TDS US Equity","SR267")</f>
        <v>0</v>
      </c>
      <c r="L79" t="s">
        <v>22</v>
      </c>
      <c r="N79">
        <f>_xll.BDP("TDS US Equity","SR238")</f>
        <v>3</v>
      </c>
      <c r="O79">
        <f>_xll.BDP("TDS US Equity","SR205")</f>
        <v>3</v>
      </c>
      <c r="P79">
        <f>_xll.BDP("TDS US Equity","SR211")</f>
        <v>10</v>
      </c>
      <c r="Q79">
        <f>_xll.BDP("TDS US Equity","SR235")</f>
        <v>3.6583123207092285</v>
      </c>
      <c r="S79">
        <f>_xll.BDP("TDS US Equity","SR259")</f>
        <v>0</v>
      </c>
      <c r="T79">
        <f>_xll.BDP("TDS US Equity","SR263")</f>
        <v>0</v>
      </c>
      <c r="U79" t="s">
        <v>22</v>
      </c>
      <c r="V79" t="s">
        <v>22</v>
      </c>
      <c r="X79">
        <f>_xll.BDP("TDS US Equity","SR480")</f>
        <v>10</v>
      </c>
      <c r="Y79">
        <f>_xll.BDP("TDS US Equity","SR477")</f>
        <v>10</v>
      </c>
    </row>
    <row r="80" spans="1:25" x14ac:dyDescent="0.25">
      <c r="A80" t="s">
        <v>116</v>
      </c>
      <c r="B80" t="str">
        <f>_xll.BDP("OPL PW Equity","DS192")</f>
        <v>ORANGE POLSKA SA</v>
      </c>
      <c r="C80">
        <f>_xll.BDP("OPL PW Equity","RR910","DS215=USD","DY339=UNIT")</f>
        <v>5156218042.279665</v>
      </c>
      <c r="D80" t="str">
        <f>_xll.BDP("OPL PW Equity","DX129")</f>
        <v>PL</v>
      </c>
      <c r="F80">
        <f>_xll.BDP("OPL PW Equity","ST058")</f>
        <v>77.099999999999994</v>
      </c>
      <c r="G80">
        <f>_xll.BDP("OPL PW Equity","SR468")</f>
        <v>79.400000000000006</v>
      </c>
      <c r="I80">
        <f>_xll.BDP("OPL PW Equity","SR001")</f>
        <v>4.6700000762939453</v>
      </c>
      <c r="J80">
        <f>_xll.BDP("OPL PW Equity","SR002")</f>
        <v>5.1616535186767578</v>
      </c>
      <c r="K80">
        <f>_xll.BDP("OPL PW Equity","SR267")</f>
        <v>0.79411762952804565</v>
      </c>
      <c r="L80" t="s">
        <v>29</v>
      </c>
      <c r="N80">
        <f>_xll.BDP("OPL PW Equity","SR238")</f>
        <v>3</v>
      </c>
      <c r="O80">
        <f>_xll.BDP("OPL PW Equity","SR205")</f>
        <v>6.4798674583435059</v>
      </c>
      <c r="P80">
        <f>_xll.BDP("OPL PW Equity","SR211")</f>
        <v>10</v>
      </c>
      <c r="Q80">
        <f>_xll.BDP("OPL PW Equity","SR235")</f>
        <v>3.6583123207092285</v>
      </c>
      <c r="S80">
        <f>_xll.BDP("OPL PW Equity","SR259")</f>
        <v>0</v>
      </c>
      <c r="T80">
        <f>_xll.BDP("OPL PW Equity","SR263")</f>
        <v>1</v>
      </c>
      <c r="U80" t="s">
        <v>22</v>
      </c>
      <c r="V80" t="s">
        <v>31</v>
      </c>
      <c r="X80">
        <f>_xll.BDP("OPL PW Equity","SR480")</f>
        <v>10</v>
      </c>
      <c r="Y80">
        <f>_xll.BDP("OPL PW Equity","SR477")</f>
        <v>5.0131454467773438</v>
      </c>
    </row>
    <row r="81" spans="1:25" x14ac:dyDescent="0.25">
      <c r="A81" t="s">
        <v>117</v>
      </c>
      <c r="B81" t="str">
        <f>_xll.BDP("032640 KS Equity","DS192")</f>
        <v>LG UPLUS CORP</v>
      </c>
      <c r="C81">
        <f>_xll.BDP("032640 KS Equity","RR910","DS215=USD","DY339=UNIT")</f>
        <v>5010267511.1753759</v>
      </c>
      <c r="D81" t="str">
        <f>_xll.BDP("032640 KS Equity","DX129")</f>
        <v>KR</v>
      </c>
      <c r="F81">
        <f>_xll.BDP("032640 KS Equity","ST058")</f>
        <v>49.4</v>
      </c>
      <c r="G81">
        <f>_xll.BDP("032640 KS Equity","SR468")</f>
        <v>23.5</v>
      </c>
      <c r="I81">
        <f>_xll.BDP("032640 KS Equity","SR001")</f>
        <v>3.6800000667572021</v>
      </c>
      <c r="J81">
        <f>_xll.BDP("032640 KS Equity","SR002")</f>
        <v>1.8202414512634277</v>
      </c>
      <c r="K81">
        <f>_xll.BDP("032640 KS Equity","SR267")</f>
        <v>0.73529410362243652</v>
      </c>
      <c r="L81" t="s">
        <v>40</v>
      </c>
      <c r="N81">
        <f>_xll.BDP("032640 KS Equity","SR238")</f>
        <v>0</v>
      </c>
      <c r="O81">
        <f>_xll.BDP("032640 KS Equity","SR205")</f>
        <v>2.7099170684814453</v>
      </c>
      <c r="P81">
        <f>_xll.BDP("032640 KS Equity","SR211")</f>
        <v>10</v>
      </c>
      <c r="Q81">
        <f>_xll.BDP("032640 KS Equity","SR235")</f>
        <v>1.9747449159622192</v>
      </c>
      <c r="S81">
        <f>_xll.BDP("032640 KS Equity","SR259")</f>
        <v>0</v>
      </c>
      <c r="T81">
        <f>_xll.BDP("032640 KS Equity","SR263")</f>
        <v>1</v>
      </c>
      <c r="U81" t="s">
        <v>22</v>
      </c>
      <c r="V81" t="s">
        <v>31</v>
      </c>
      <c r="X81">
        <f>_xll.BDP("032640 KS Equity","SR480")</f>
        <v>0</v>
      </c>
      <c r="Y81">
        <f>_xll.BDP("032640 KS Equity","SR477")</f>
        <v>1.016218900680542</v>
      </c>
    </row>
    <row r="82" spans="1:25" x14ac:dyDescent="0.25">
      <c r="A82" t="s">
        <v>118</v>
      </c>
      <c r="B82" t="str">
        <f>_xll.BDP("1U1 GR Equity","DS192")</f>
        <v>1&amp;1 AG</v>
      </c>
      <c r="C82">
        <f>_xll.BDP("1U1 GR Equity","RR910","DS215=USD","DY339=UNIT")</f>
        <v>4978694548.122632</v>
      </c>
      <c r="D82" t="str">
        <f>_xll.BDP("1U1 GR Equity","DX129")</f>
        <v>DE</v>
      </c>
      <c r="F82">
        <f>_xll.BDP("1U1 GR Equity","ST058")</f>
        <v>62.4</v>
      </c>
      <c r="G82">
        <f>_xll.BDP("1U1 GR Equity","SR468")</f>
        <v>82.4</v>
      </c>
      <c r="I82">
        <f>_xll.BDP("1U1 GR Equity","SR001")</f>
        <v>4.0199999809265137</v>
      </c>
      <c r="J82">
        <f>_xll.BDP("1U1 GR Equity","SR002")</f>
        <v>5.4185233116149902</v>
      </c>
      <c r="K82">
        <f>_xll.BDP("1U1 GR Equity","SR267")</f>
        <v>0.58823531866073608</v>
      </c>
      <c r="L82" t="s">
        <v>43</v>
      </c>
      <c r="N82">
        <f>_xll.BDP("1U1 GR Equity","SR238")</f>
        <v>3</v>
      </c>
      <c r="O82">
        <f>_xll.BDP("1U1 GR Equity","SR205")</f>
        <v>9.2519445419311523</v>
      </c>
      <c r="P82">
        <f>_xll.BDP("1U1 GR Equity","SR211")</f>
        <v>0</v>
      </c>
      <c r="Q82">
        <f>_xll.BDP("1U1 GR Equity","SR235")</f>
        <v>1.9747449159622192</v>
      </c>
      <c r="S82">
        <f>_xll.BDP("1U1 GR Equity","SR259")</f>
        <v>0</v>
      </c>
      <c r="T82">
        <f>_xll.BDP("1U1 GR Equity","SR263")</f>
        <v>0.80000001192092896</v>
      </c>
      <c r="U82" t="s">
        <v>22</v>
      </c>
      <c r="V82" t="s">
        <v>44</v>
      </c>
      <c r="X82">
        <f>_xll.BDP("1U1 GR Equity","SR480")</f>
        <v>10</v>
      </c>
      <c r="Y82">
        <f>_xll.BDP("1U1 GR Equity","SR477")</f>
        <v>9.9872379302978516</v>
      </c>
    </row>
    <row r="83" spans="1:25" x14ac:dyDescent="0.25">
      <c r="A83" t="s">
        <v>119</v>
      </c>
      <c r="B83" t="str">
        <f>_xll.BDP("TTKOM TI Equity","DS192")</f>
        <v>TURK TELEKOM</v>
      </c>
      <c r="C83">
        <f>_xll.BDP("TTKOM TI Equity","RR910","DS215=USD","DY339=UNIT")</f>
        <v>4975872988.7813807</v>
      </c>
      <c r="D83" t="str">
        <f>_xll.BDP("TTKOM TI Equity","DX129")</f>
        <v>TR</v>
      </c>
      <c r="F83">
        <f>_xll.BDP("TTKOM TI Equity","ST058")</f>
        <v>27.4</v>
      </c>
      <c r="G83">
        <f>_xll.BDP("TTKOM TI Equity","SR468")</f>
        <v>41.8</v>
      </c>
      <c r="I83">
        <f>_xll.BDP("TTKOM TI Equity","SR001")</f>
        <v>2.7899999618530273</v>
      </c>
      <c r="J83">
        <f>_xll.BDP("TTKOM TI Equity","SR002")</f>
        <v>2.775104284286499</v>
      </c>
      <c r="K83">
        <f>_xll.BDP("TTKOM TI Equity","SR267")</f>
        <v>0.73529410362243652</v>
      </c>
      <c r="L83" t="s">
        <v>40</v>
      </c>
      <c r="N83">
        <f>_xll.BDP("TTKOM TI Equity","SR238")</f>
        <v>0</v>
      </c>
      <c r="O83">
        <f>_xll.BDP("TTKOM TI Equity","SR205")</f>
        <v>4.7617678642272949</v>
      </c>
      <c r="P83">
        <f>_xll.BDP("TTKOM TI Equity","SR211")</f>
        <v>10</v>
      </c>
      <c r="Q83">
        <f>_xll.BDP("TTKOM TI Equity","SR235")</f>
        <v>3.6583123207092285</v>
      </c>
      <c r="S83">
        <f>_xll.BDP("TTKOM TI Equity","SR259")</f>
        <v>0</v>
      </c>
      <c r="T83">
        <f>_xll.BDP("TTKOM TI Equity","SR263")</f>
        <v>1</v>
      </c>
      <c r="U83" t="s">
        <v>22</v>
      </c>
      <c r="V83" t="s">
        <v>31</v>
      </c>
      <c r="X83">
        <f>_xll.BDP("TTKOM TI Equity","SR480")</f>
        <v>0</v>
      </c>
      <c r="Y83">
        <f>_xll.BDP("TTKOM TI Equity","SR477")</f>
        <v>2.5791714191436768</v>
      </c>
    </row>
    <row r="84" spans="1:25" x14ac:dyDescent="0.25">
      <c r="A84" t="s">
        <v>120</v>
      </c>
      <c r="B84" t="str">
        <f>_xll.BDP("AXIATA MK Equity","DS192")</f>
        <v>AXIATA GROUP BER</v>
      </c>
      <c r="C84">
        <f>_xll.BDP("AXIATA MK Equity","RR910","DS215=USD","DY339=UNIT")</f>
        <v>4969741173.6481647</v>
      </c>
      <c r="D84" t="str">
        <f>_xll.BDP("AXIATA MK Equity","DX129")</f>
        <v>MY</v>
      </c>
      <c r="F84">
        <f>_xll.BDP("AXIATA MK Equity","ST058")</f>
        <v>25.3</v>
      </c>
      <c r="G84">
        <f>_xll.BDP("AXIATA MK Equity","SR468")</f>
        <v>14.7</v>
      </c>
      <c r="I84">
        <f>_xll.BDP("AXIATA MK Equity","SR001")</f>
        <v>2.75</v>
      </c>
      <c r="J84">
        <f>_xll.BDP("AXIATA MK Equity","SR002")</f>
        <v>1.0575342178344727</v>
      </c>
      <c r="K84">
        <f>_xll.BDP("AXIATA MK Equity","SR267")</f>
        <v>0.58823531866073608</v>
      </c>
      <c r="L84" t="s">
        <v>43</v>
      </c>
      <c r="N84">
        <f>_xll.BDP("AXIATA MK Equity","SR238")</f>
        <v>0</v>
      </c>
      <c r="O84">
        <f>_xll.BDP("AXIATA MK Equity","SR205")</f>
        <v>0.99699318408966064</v>
      </c>
      <c r="P84">
        <f>_xll.BDP("AXIATA MK Equity","SR211")</f>
        <v>10</v>
      </c>
      <c r="Q84">
        <f>_xll.BDP("AXIATA MK Equity","SR235")</f>
        <v>3.6583123207092285</v>
      </c>
      <c r="S84">
        <f>_xll.BDP("AXIATA MK Equity","SR259")</f>
        <v>0</v>
      </c>
      <c r="T84">
        <f>_xll.BDP("AXIATA MK Equity","SR263")</f>
        <v>0.80000001192092896</v>
      </c>
      <c r="U84" t="s">
        <v>22</v>
      </c>
      <c r="V84" t="s">
        <v>44</v>
      </c>
      <c r="X84">
        <f>_xll.BDP("AXIATA MK Equity","SR480")</f>
        <v>0</v>
      </c>
      <c r="Y84">
        <f>_xll.BDP("AXIATA MK Equity","SR477")</f>
        <v>0.4545561671257019</v>
      </c>
    </row>
    <row r="85" spans="1:25" x14ac:dyDescent="0.25">
      <c r="A85" t="s">
        <v>121</v>
      </c>
      <c r="B85" t="str">
        <f>_xll.BDP("600637 CH Equity","DS192")</f>
        <v>ORIENTAL PEARL-A</v>
      </c>
      <c r="C85">
        <f>_xll.BDP("600637 CH Equity","RR910","DS215=USD","DY339=UNIT")</f>
        <v>4733337816.8582754</v>
      </c>
      <c r="D85" t="str">
        <f>_xll.BDP("600637 CH Equity","DX129")</f>
        <v>CN</v>
      </c>
      <c r="F85">
        <f>_xll.BDP("600637 CH Equity","ST058")</f>
        <v>20</v>
      </c>
      <c r="G85">
        <f>_xll.BDP("600637 CH Equity","SR468")</f>
        <v>12.4</v>
      </c>
      <c r="I85">
        <f>_xll.BDP("600637 CH Equity","SR001")</f>
        <v>2.5199999809265137</v>
      </c>
      <c r="J85">
        <f>_xll.BDP("600637 CH Equity","SR002")</f>
        <v>0.49226287007331848</v>
      </c>
      <c r="K85">
        <f>_xll.BDP("600637 CH Equity","SR267")</f>
        <v>0</v>
      </c>
      <c r="L85" t="s">
        <v>22</v>
      </c>
      <c r="N85">
        <f>_xll.BDP("600637 CH Equity","SR238")</f>
        <v>0</v>
      </c>
      <c r="O85">
        <f>_xll.BDP("600637 CH Equity","SR205")</f>
        <v>0</v>
      </c>
      <c r="P85">
        <f>_xll.BDP("600637 CH Equity","SR211")</f>
        <v>10</v>
      </c>
      <c r="Q85">
        <f>_xll.BDP("600637 CH Equity","SR235")</f>
        <v>3.6583123207092285</v>
      </c>
      <c r="S85">
        <f>_xll.BDP("600637 CH Equity","SR259")</f>
        <v>0</v>
      </c>
      <c r="T85">
        <f>_xll.BDP("600637 CH Equity","SR263")</f>
        <v>0</v>
      </c>
      <c r="U85" t="s">
        <v>22</v>
      </c>
      <c r="V85" t="s">
        <v>22</v>
      </c>
      <c r="X85">
        <f>_xll.BDP("600637 CH Equity","SR480")</f>
        <v>0</v>
      </c>
      <c r="Y85">
        <f>_xll.BDP("600637 CH Equity","SR477")</f>
        <v>0</v>
      </c>
    </row>
    <row r="86" spans="1:25" x14ac:dyDescent="0.25">
      <c r="A86" t="s">
        <v>122</v>
      </c>
      <c r="B86" t="str">
        <f>_xll.BDP("TEL PM Equity","DS192")</f>
        <v>PLDT INC</v>
      </c>
      <c r="C86">
        <f>_xll.BDP("TEL PM Equity","RR910","DS215=USD","DY339=UNIT")</f>
        <v>4609800644.8404074</v>
      </c>
      <c r="D86" t="str">
        <f>_xll.BDP("TEL PM Equity","DX129")</f>
        <v>PH</v>
      </c>
      <c r="F86">
        <f>_xll.BDP("TEL PM Equity","ST058")</f>
        <v>67.400000000000006</v>
      </c>
      <c r="G86">
        <f>_xll.BDP("TEL PM Equity","SR468")</f>
        <v>42.4</v>
      </c>
      <c r="I86">
        <f>_xll.BDP("TEL PM Equity","SR001")</f>
        <v>4.2699999809265137</v>
      </c>
      <c r="J86">
        <f>_xll.BDP("TEL PM Equity","SR002")</f>
        <v>2.8111450672149658</v>
      </c>
      <c r="K86">
        <f>_xll.BDP("TEL PM Equity","SR267")</f>
        <v>0.58823531866073608</v>
      </c>
      <c r="L86" t="s">
        <v>43</v>
      </c>
      <c r="N86">
        <f>_xll.BDP("TEL PM Equity","SR238")</f>
        <v>3</v>
      </c>
      <c r="O86">
        <f>_xll.BDP("TEL PM Equity","SR205")</f>
        <v>1.9103646278381348</v>
      </c>
      <c r="P86">
        <f>_xll.BDP("TEL PM Equity","SR211")</f>
        <v>10</v>
      </c>
      <c r="Q86">
        <f>_xll.BDP("TEL PM Equity","SR235")</f>
        <v>3.6583123207092285</v>
      </c>
      <c r="S86">
        <f>_xll.BDP("TEL PM Equity","SR259")</f>
        <v>0</v>
      </c>
      <c r="T86">
        <f>_xll.BDP("TEL PM Equity","SR263")</f>
        <v>0.80000001192092896</v>
      </c>
      <c r="U86" t="s">
        <v>22</v>
      </c>
      <c r="V86" t="s">
        <v>44</v>
      </c>
      <c r="X86">
        <f>_xll.BDP("TEL PM Equity","SR480")</f>
        <v>10</v>
      </c>
      <c r="Y86">
        <f>_xll.BDP("TEL PM Equity","SR477")</f>
        <v>0.8709869384765625</v>
      </c>
    </row>
    <row r="87" spans="1:25" x14ac:dyDescent="0.25">
      <c r="A87" t="s">
        <v>123</v>
      </c>
      <c r="B87" t="str">
        <f>_xll.BDP("TCOM IN Equity","DS192")</f>
        <v>TATA COMMUNICATI</v>
      </c>
      <c r="C87">
        <f>_xll.BDP("TCOM IN Equity","RR910","DS215=USD","DY339=UNIT")</f>
        <v>4557922498.5862408</v>
      </c>
      <c r="D87" t="str">
        <f>_xll.BDP("TCOM IN Equity","DX129")</f>
        <v>IN</v>
      </c>
      <c r="F87" t="str">
        <f>_xll.BDP("TCOM IN Equity","ST058")</f>
        <v>#N/A N/A</v>
      </c>
      <c r="G87" t="str">
        <f>_xll.BDP("TCOM IN Equity","SR468")</f>
        <v>#N/A N/A</v>
      </c>
      <c r="I87" t="str">
        <f>_xll.BDP("TCOM IN Equity","SR001")</f>
        <v>#N/A N/A</v>
      </c>
      <c r="J87" t="str">
        <f>_xll.BDP("TCOM IN Equity","SR002")</f>
        <v>#N/A N/A</v>
      </c>
      <c r="K87" t="str">
        <f>_xll.BDP("TCOM IN Equity","SR267")</f>
        <v>#N/A N/A</v>
      </c>
      <c r="N87" t="str">
        <f>_xll.BDP("TCOM IN Equity","SR238")</f>
        <v>#N/A N/A</v>
      </c>
      <c r="O87" t="str">
        <f>_xll.BDP("TCOM IN Equity","SR205")</f>
        <v>#N/A N/A</v>
      </c>
      <c r="P87" t="str">
        <f>_xll.BDP("TCOM IN Equity","SR211")</f>
        <v>#N/A N/A</v>
      </c>
      <c r="Q87" t="str">
        <f>_xll.BDP("TCOM IN Equity","SR235")</f>
        <v>#N/A N/A</v>
      </c>
      <c r="S87" t="str">
        <f>_xll.BDP("TCOM IN Equity","SR259")</f>
        <v>#N/A N/A</v>
      </c>
      <c r="T87" t="str">
        <f>_xll.BDP("TCOM IN Equity","SR263")</f>
        <v>#N/A N/A</v>
      </c>
      <c r="X87" t="str">
        <f>_xll.BDP("TCOM IN Equity","SR480")</f>
        <v>#N/A N/A</v>
      </c>
      <c r="Y87" t="str">
        <f>_xll.BDP("TCOM IN Equity","SR477")</f>
        <v>#N/A N/A</v>
      </c>
    </row>
    <row r="88" spans="1:25" x14ac:dyDescent="0.25">
      <c r="A88" t="s">
        <v>124</v>
      </c>
      <c r="B88" t="str">
        <f>_xll.BDP("SUNN SW Equity","DS192")</f>
        <v>SUNRISE COMMUNIC</v>
      </c>
      <c r="C88">
        <f>_xll.BDP("SUNN SW Equity","RR910","DS215=USD","DY339=UNIT")</f>
        <v>4480194303.8995876</v>
      </c>
      <c r="D88" t="str">
        <f>_xll.BDP("SUNN SW Equity","DX129")</f>
        <v>CH</v>
      </c>
      <c r="F88">
        <f>_xll.BDP("SUNN SW Equity","ST058")</f>
        <v>81.8</v>
      </c>
      <c r="G88">
        <f>_xll.BDP("SUNN SW Equity","SR468")</f>
        <v>93.5</v>
      </c>
      <c r="I88">
        <f>_xll.BDP("SUNN SW Equity","SR001")</f>
        <v>4.8899998664855957</v>
      </c>
      <c r="J88">
        <f>_xll.BDP("SUNN SW Equity","SR002")</f>
        <v>6.4604353904724121</v>
      </c>
      <c r="K88">
        <f>_xll.BDP("SUNN SW Equity","SR267")</f>
        <v>0.73529410362243652</v>
      </c>
      <c r="L88" t="s">
        <v>40</v>
      </c>
      <c r="N88">
        <f>_xll.BDP("SUNN SW Equity","SR238")</f>
        <v>3</v>
      </c>
      <c r="O88">
        <f>_xll.BDP("SUNN SW Equity","SR205")</f>
        <v>9.601435661315918</v>
      </c>
      <c r="P88">
        <f>_xll.BDP("SUNN SW Equity","SR211")</f>
        <v>10</v>
      </c>
      <c r="Q88">
        <f>_xll.BDP("SUNN SW Equity","SR235")</f>
        <v>1.9747449159622192</v>
      </c>
      <c r="S88">
        <f>_xll.BDP("SUNN SW Equity","SR259")</f>
        <v>0</v>
      </c>
      <c r="T88">
        <f>_xll.BDP("SUNN SW Equity","SR263")</f>
        <v>1</v>
      </c>
      <c r="U88" t="s">
        <v>22</v>
      </c>
      <c r="V88" t="s">
        <v>31</v>
      </c>
      <c r="X88">
        <f>_xll.BDP("SUNN SW Equity","SR480")</f>
        <v>10</v>
      </c>
      <c r="Y88">
        <f>_xll.BDP("SUNN SW Equity","SR477")</f>
        <v>9.4353675842285156</v>
      </c>
    </row>
    <row r="89" spans="1:25" x14ac:dyDescent="0.25">
      <c r="A89" t="s">
        <v>125</v>
      </c>
      <c r="B89" t="str">
        <f>_xll.BDP("AD US Equity","DS192")</f>
        <v>ARRAY DIGITAL IN</v>
      </c>
      <c r="C89">
        <f>_xll.BDP("AD US Equity","RR910","DS215=USD","DY339=UNIT")</f>
        <v>4273739645.7599988</v>
      </c>
      <c r="D89" t="str">
        <f>_xll.BDP("AD US Equity","DX129")</f>
        <v>US</v>
      </c>
      <c r="F89">
        <f>_xll.BDP("AD US Equity","ST058")</f>
        <v>10.6</v>
      </c>
      <c r="G89">
        <f>_xll.BDP("AD US Equity","SR468")</f>
        <v>8.1999999999999993</v>
      </c>
      <c r="I89">
        <f>_xll.BDP("AD US Equity","SR001")</f>
        <v>1.8500000238418579</v>
      </c>
      <c r="J89">
        <f>_xll.BDP("AD US Equity","SR002")</f>
        <v>0.17467197775840759</v>
      </c>
      <c r="K89">
        <f>_xll.BDP("AD US Equity","SR267")</f>
        <v>0</v>
      </c>
      <c r="L89" t="s">
        <v>22</v>
      </c>
      <c r="N89">
        <f>_xll.BDP("AD US Equity","SR238")</f>
        <v>0</v>
      </c>
      <c r="O89">
        <f>_xll.BDP("AD US Equity","SR205")</f>
        <v>0</v>
      </c>
      <c r="P89">
        <f>_xll.BDP("AD US Equity","SR211")</f>
        <v>0</v>
      </c>
      <c r="Q89">
        <f>_xll.BDP("AD US Equity","SR235")</f>
        <v>7.3120193481445313</v>
      </c>
      <c r="S89">
        <f>_xll.BDP("AD US Equity","SR259")</f>
        <v>0</v>
      </c>
      <c r="T89">
        <f>_xll.BDP("AD US Equity","SR263")</f>
        <v>0</v>
      </c>
      <c r="U89" t="s">
        <v>22</v>
      </c>
      <c r="V89" t="s">
        <v>22</v>
      </c>
      <c r="X89">
        <f>_xll.BDP("AD US Equity","SR480")</f>
        <v>0</v>
      </c>
      <c r="Y89">
        <f>_xll.BDP("AD US Equity","SR477")</f>
        <v>0</v>
      </c>
    </row>
    <row r="90" spans="1:25" x14ac:dyDescent="0.25">
      <c r="A90" t="s">
        <v>126</v>
      </c>
      <c r="B90" t="str">
        <f>_xll.BDP("LBTYA US Equity","DS192")</f>
        <v>LIBERTY GLOBAL-A</v>
      </c>
      <c r="C90">
        <f>_xll.BDP("LBTYA US Equity","RR910","DS215=USD","DY339=UNIT")</f>
        <v>4100658302.5499992</v>
      </c>
      <c r="D90" t="str">
        <f>_xll.BDP("LBTYA US Equity","DX129")</f>
        <v>BE</v>
      </c>
      <c r="F90">
        <f>_xll.BDP("LBTYA US Equity","ST058")</f>
        <v>45.6</v>
      </c>
      <c r="G90">
        <f>_xll.BDP("LBTYA US Equity","SR468")</f>
        <v>69.400000000000006</v>
      </c>
      <c r="I90">
        <f>_xll.BDP("LBTYA US Equity","SR001")</f>
        <v>3.4900000095367432</v>
      </c>
      <c r="J90">
        <f>_xll.BDP("LBTYA US Equity","SR002")</f>
        <v>4.3239798545837402</v>
      </c>
      <c r="K90">
        <f>_xll.BDP("LBTYA US Equity","SR267")</f>
        <v>0.73529410362243652</v>
      </c>
      <c r="L90" t="s">
        <v>40</v>
      </c>
      <c r="N90">
        <f>_xll.BDP("LBTYA US Equity","SR238")</f>
        <v>0</v>
      </c>
      <c r="O90">
        <f>_xll.BDP("LBTYA US Equity","SR205")</f>
        <v>9.2904329299926758</v>
      </c>
      <c r="P90">
        <f>_xll.BDP("LBTYA US Equity","SR211")</f>
        <v>10</v>
      </c>
      <c r="Q90">
        <f>_xll.BDP("LBTYA US Equity","SR235")</f>
        <v>0</v>
      </c>
      <c r="S90">
        <f>_xll.BDP("LBTYA US Equity","SR259")</f>
        <v>0</v>
      </c>
      <c r="T90">
        <f>_xll.BDP("LBTYA US Equity","SR263")</f>
        <v>1</v>
      </c>
      <c r="U90" t="s">
        <v>22</v>
      </c>
      <c r="V90" t="s">
        <v>31</v>
      </c>
      <c r="X90">
        <f>_xll.BDP("LBTYA US Equity","SR480")</f>
        <v>0</v>
      </c>
      <c r="Y90">
        <f>_xll.BDP("LBTYA US Equity","SR477")</f>
        <v>8.9947795867919922</v>
      </c>
    </row>
    <row r="91" spans="1:25" x14ac:dyDescent="0.25">
      <c r="A91" t="s">
        <v>127</v>
      </c>
      <c r="B91" t="str">
        <f>_xll.BDP("ISAT IJ Equity","DS192")</f>
        <v>INDOSAT TBK PT</v>
      </c>
      <c r="C91">
        <f>_xll.BDP("ISAT IJ Equity","RR910","DS215=USD","DY339=UNIT")</f>
        <v>4049952897.8447523</v>
      </c>
      <c r="D91" t="str">
        <f>_xll.BDP("ISAT IJ Equity","DX129")</f>
        <v>ID</v>
      </c>
      <c r="F91">
        <f>_xll.BDP("ISAT IJ Equity","ST058")</f>
        <v>56.5</v>
      </c>
      <c r="G91">
        <f>_xll.BDP("ISAT IJ Equity","SR468")</f>
        <v>13.5</v>
      </c>
      <c r="I91">
        <f>_xll.BDP("ISAT IJ Equity","SR001")</f>
        <v>3.9000000953674316</v>
      </c>
      <c r="J91">
        <f>_xll.BDP("ISAT IJ Equity","SR002")</f>
        <v>0.75828450918197632</v>
      </c>
      <c r="K91">
        <f>_xll.BDP("ISAT IJ Equity","SR267")</f>
        <v>0.29411765933036804</v>
      </c>
      <c r="L91" t="s">
        <v>21</v>
      </c>
      <c r="N91">
        <f>_xll.BDP("ISAT IJ Equity","SR238")</f>
        <v>0</v>
      </c>
      <c r="O91">
        <f>_xll.BDP("ISAT IJ Equity","SR205")</f>
        <v>0.69728380441665649</v>
      </c>
      <c r="P91">
        <f>_xll.BDP("ISAT IJ Equity","SR211")</f>
        <v>10</v>
      </c>
      <c r="Q91">
        <f>_xll.BDP("ISAT IJ Equity","SR235")</f>
        <v>0</v>
      </c>
      <c r="S91">
        <f>_xll.BDP("ISAT IJ Equity","SR259")</f>
        <v>0</v>
      </c>
      <c r="T91">
        <f>_xll.BDP("ISAT IJ Equity","SR263")</f>
        <v>0.40000000596046448</v>
      </c>
      <c r="U91" t="s">
        <v>22</v>
      </c>
      <c r="V91" t="s">
        <v>23</v>
      </c>
      <c r="X91">
        <f>_xll.BDP("ISAT IJ Equity","SR480")</f>
        <v>0</v>
      </c>
      <c r="Y91">
        <f>_xll.BDP("ISAT IJ Equity","SR477")</f>
        <v>0.55931854248046875</v>
      </c>
    </row>
    <row r="92" spans="1:25" x14ac:dyDescent="0.25">
      <c r="A92" t="s">
        <v>128</v>
      </c>
      <c r="B92" t="str">
        <f>_xll.BDP("GLO PM Equity","DS192")</f>
        <v>GLOBE TELECOM</v>
      </c>
      <c r="C92">
        <f>_xll.BDP("GLO PM Equity","RR910","DS215=USD","DY339=UNIT")</f>
        <v>3900867889.0477281</v>
      </c>
      <c r="D92" t="str">
        <f>_xll.BDP("GLO PM Equity","DX129")</f>
        <v>PH</v>
      </c>
      <c r="F92">
        <f>_xll.BDP("GLO PM Equity","ST058")</f>
        <v>77.900000000000006</v>
      </c>
      <c r="G92">
        <f>_xll.BDP("GLO PM Equity","SR468")</f>
        <v>40</v>
      </c>
      <c r="I92">
        <f>_xll.BDP("GLO PM Equity","SR001")</f>
        <v>4.7100000381469727</v>
      </c>
      <c r="J92">
        <f>_xll.BDP("GLO PM Equity","SR002")</f>
        <v>2.6714117527008057</v>
      </c>
      <c r="K92">
        <f>_xll.BDP("GLO PM Equity","SR267")</f>
        <v>0.73529410362243652</v>
      </c>
      <c r="L92" t="s">
        <v>40</v>
      </c>
      <c r="N92">
        <f>_xll.BDP("GLO PM Equity","SR238")</f>
        <v>0</v>
      </c>
      <c r="O92">
        <f>_xll.BDP("GLO PM Equity","SR205")</f>
        <v>4.5140781402587891</v>
      </c>
      <c r="P92">
        <f>_xll.BDP("GLO PM Equity","SR211")</f>
        <v>10</v>
      </c>
      <c r="Q92">
        <f>_xll.BDP("GLO PM Equity","SR235")</f>
        <v>3.6583123207092285</v>
      </c>
      <c r="S92">
        <f>_xll.BDP("GLO PM Equity","SR259")</f>
        <v>0</v>
      </c>
      <c r="T92">
        <f>_xll.BDP("GLO PM Equity","SR263")</f>
        <v>1</v>
      </c>
      <c r="U92" t="s">
        <v>22</v>
      </c>
      <c r="V92" t="s">
        <v>31</v>
      </c>
      <c r="X92">
        <f>_xll.BDP("GLO PM Equity","SR480")</f>
        <v>0</v>
      </c>
      <c r="Y92">
        <f>_xll.BDP("GLO PM Equity","SR477")</f>
        <v>2.2282776832580566</v>
      </c>
    </row>
    <row r="93" spans="1:25" x14ac:dyDescent="0.25">
      <c r="A93" t="s">
        <v>129</v>
      </c>
      <c r="B93" t="str">
        <f>_xll.BDP("FNTN GR Equity","DS192")</f>
        <v>FREENET AG</v>
      </c>
      <c r="C93">
        <f>_xll.BDP("FNTN GR Equity","RR910","DS215=USD","DY339=UNIT")</f>
        <v>3826934237.8020644</v>
      </c>
      <c r="D93" t="str">
        <f>_xll.BDP("FNTN GR Equity","DX129")</f>
        <v>DE</v>
      </c>
      <c r="F93">
        <f>_xll.BDP("FNTN GR Equity","ST058")</f>
        <v>47.9</v>
      </c>
      <c r="G93">
        <f>_xll.BDP("FNTN GR Equity","SR468")</f>
        <v>74.099999999999994</v>
      </c>
      <c r="I93">
        <f>_xll.BDP("FNTN GR Equity","SR001")</f>
        <v>3.6099998950958252</v>
      </c>
      <c r="J93">
        <f>_xll.BDP("FNTN GR Equity","SR002")</f>
        <v>4.5211787223815918</v>
      </c>
      <c r="K93">
        <f>_xll.BDP("FNTN GR Equity","SR267")</f>
        <v>0.58823531866073608</v>
      </c>
      <c r="L93" t="s">
        <v>43</v>
      </c>
      <c r="N93">
        <f>_xll.BDP("FNTN GR Equity","SR238")</f>
        <v>0</v>
      </c>
      <c r="O93">
        <f>_xll.BDP("FNTN GR Equity","SR205")</f>
        <v>8.5473852157592773</v>
      </c>
      <c r="P93">
        <f>_xll.BDP("FNTN GR Equity","SR211")</f>
        <v>10</v>
      </c>
      <c r="Q93">
        <f>_xll.BDP("FNTN GR Equity","SR235")</f>
        <v>10</v>
      </c>
      <c r="S93">
        <f>_xll.BDP("FNTN GR Equity","SR259")</f>
        <v>0</v>
      </c>
      <c r="T93">
        <f>_xll.BDP("FNTN GR Equity","SR263")</f>
        <v>0.80000001192092896</v>
      </c>
      <c r="U93" t="s">
        <v>22</v>
      </c>
      <c r="V93" t="s">
        <v>44</v>
      </c>
      <c r="X93">
        <f>_xll.BDP("FNTN GR Equity","SR480")</f>
        <v>0</v>
      </c>
      <c r="Y93">
        <f>_xll.BDP("FNTN GR Equity","SR477")</f>
        <v>8.9842491149902344</v>
      </c>
    </row>
    <row r="94" spans="1:25" x14ac:dyDescent="0.25">
      <c r="A94" t="s">
        <v>130</v>
      </c>
      <c r="B94" t="str">
        <f>_xll.BDP("VEON US Equity","DS192")</f>
        <v>VEON LTD</v>
      </c>
      <c r="C94">
        <f>_xll.BDP("VEON US Equity","RR910","DS215=USD","DY339=UNIT")</f>
        <v>3757555400.7999992</v>
      </c>
      <c r="D94" t="str">
        <f>_xll.BDP("VEON US Equity","DX129")</f>
        <v>PK</v>
      </c>
      <c r="F94">
        <f>_xll.BDP("VEON US Equity","ST058")</f>
        <v>16.2</v>
      </c>
      <c r="G94">
        <f>_xll.BDP("VEON US Equity","SR468")</f>
        <v>14.1</v>
      </c>
      <c r="I94">
        <f>_xll.BDP("VEON US Equity","SR001")</f>
        <v>2.4000000953674316</v>
      </c>
      <c r="J94">
        <f>_xll.BDP("VEON US Equity","SR002")</f>
        <v>0.89595097303390503</v>
      </c>
      <c r="K94">
        <f>_xll.BDP("VEON US Equity","SR267")</f>
        <v>0.58823531866073608</v>
      </c>
      <c r="L94" t="s">
        <v>43</v>
      </c>
      <c r="N94">
        <f>_xll.BDP("VEON US Equity","SR238")</f>
        <v>0</v>
      </c>
      <c r="O94">
        <f>_xll.BDP("VEON US Equity","SR205")</f>
        <v>0.79303508996963501</v>
      </c>
      <c r="P94">
        <f>_xll.BDP("VEON US Equity","SR211")</f>
        <v>10</v>
      </c>
      <c r="Q94">
        <f>_xll.BDP("VEON US Equity","SR235")</f>
        <v>1.9747449159622192</v>
      </c>
      <c r="S94">
        <f>_xll.BDP("VEON US Equity","SR259")</f>
        <v>0</v>
      </c>
      <c r="T94">
        <f>_xll.BDP("VEON US Equity","SR263")</f>
        <v>0.80000001192092896</v>
      </c>
      <c r="U94" t="s">
        <v>22</v>
      </c>
      <c r="V94" t="s">
        <v>44</v>
      </c>
      <c r="X94">
        <f>_xll.BDP("VEON US Equity","SR480")</f>
        <v>0</v>
      </c>
      <c r="Y94">
        <f>_xll.BDP("VEON US Equity","SR477")</f>
        <v>0.36156612634658813</v>
      </c>
    </row>
    <row r="95" spans="1:25" x14ac:dyDescent="0.25">
      <c r="A95" t="s">
        <v>131</v>
      </c>
      <c r="B95" t="str">
        <f>_xll.BDP("HT CZ Equity","DS192")</f>
        <v>HRVATSKI TELEKOM</v>
      </c>
      <c r="C95">
        <f>_xll.BDP("HT CZ Equity","RR910","DS215=USD","DY339=UNIT")</f>
        <v>3462256064.2298136</v>
      </c>
      <c r="D95" t="str">
        <f>_xll.BDP("HT CZ Equity","DX129")</f>
        <v>HR</v>
      </c>
      <c r="F95">
        <f>_xll.BDP("HT CZ Equity","ST058")</f>
        <v>64.099999999999994</v>
      </c>
      <c r="G95">
        <f>_xll.BDP("HT CZ Equity","SR468")</f>
        <v>84.1</v>
      </c>
      <c r="I95">
        <f>_xll.BDP("HT CZ Equity","SR001")</f>
        <v>4.0799999237060547</v>
      </c>
      <c r="J95">
        <f>_xll.BDP("HT CZ Equity","SR002")</f>
        <v>5.6908807754516602</v>
      </c>
      <c r="K95">
        <f>_xll.BDP("HT CZ Equity","SR267")</f>
        <v>0.64705884456634521</v>
      </c>
      <c r="L95" t="s">
        <v>56</v>
      </c>
      <c r="N95">
        <f>_xll.BDP("HT CZ Equity","SR238")</f>
        <v>3</v>
      </c>
      <c r="O95">
        <f>_xll.BDP("HT CZ Equity","SR205")</f>
        <v>7.6295566558837891</v>
      </c>
      <c r="P95">
        <f>_xll.BDP("HT CZ Equity","SR211")</f>
        <v>10</v>
      </c>
      <c r="Q95">
        <f>_xll.BDP("HT CZ Equity","SR235")</f>
        <v>3.6583123207092285</v>
      </c>
      <c r="S95">
        <f>_xll.BDP("HT CZ Equity","SR259")</f>
        <v>0</v>
      </c>
      <c r="T95">
        <f>_xll.BDP("HT CZ Equity","SR263")</f>
        <v>0.80000001192092896</v>
      </c>
      <c r="U95" t="s">
        <v>22</v>
      </c>
      <c r="V95" t="s">
        <v>44</v>
      </c>
      <c r="X95">
        <f>_xll.BDP("HT CZ Equity","SR480")</f>
        <v>10</v>
      </c>
      <c r="Y95">
        <f>_xll.BDP("HT CZ Equity","SR477")</f>
        <v>7.6776571273803711</v>
      </c>
    </row>
    <row r="96" spans="1:25" x14ac:dyDescent="0.25">
      <c r="A96" t="s">
        <v>132</v>
      </c>
      <c r="B96" t="str">
        <f>_xll.BDP("NOS PL Equity","DS192")</f>
        <v>NOS SGPS</v>
      </c>
      <c r="C96">
        <f>_xll.BDP("NOS PL Equity","RR910","DS215=USD","DY339=UNIT")</f>
        <v>3350514417.9864292</v>
      </c>
      <c r="D96" t="str">
        <f>_xll.BDP("NOS PL Equity","DX129")</f>
        <v>PT</v>
      </c>
      <c r="F96">
        <f>_xll.BDP("NOS PL Equity","ST058")</f>
        <v>72.900000000000006</v>
      </c>
      <c r="G96">
        <f>_xll.BDP("NOS PL Equity","SR468")</f>
        <v>54.7</v>
      </c>
      <c r="I96">
        <f>_xll.BDP("NOS PL Equity","SR001")</f>
        <v>4.4699997901916504</v>
      </c>
      <c r="J96">
        <f>_xll.BDP("NOS PL Equity","SR002")</f>
        <v>3.3684191703796387</v>
      </c>
      <c r="K96">
        <f>_xll.BDP("NOS PL Equity","SR267")</f>
        <v>0.73529410362243652</v>
      </c>
      <c r="L96" t="s">
        <v>40</v>
      </c>
      <c r="N96">
        <f>_xll.BDP("NOS PL Equity","SR238")</f>
        <v>0</v>
      </c>
      <c r="O96">
        <f>_xll.BDP("NOS PL Equity","SR205")</f>
        <v>6.2143282890319824</v>
      </c>
      <c r="P96">
        <f>_xll.BDP("NOS PL Equity","SR211")</f>
        <v>10</v>
      </c>
      <c r="Q96">
        <f>_xll.BDP("NOS PL Equity","SR235")</f>
        <v>3.6583123207092285</v>
      </c>
      <c r="S96">
        <f>_xll.BDP("NOS PL Equity","SR259")</f>
        <v>0</v>
      </c>
      <c r="T96">
        <f>_xll.BDP("NOS PL Equity","SR263")</f>
        <v>1</v>
      </c>
      <c r="U96" t="s">
        <v>22</v>
      </c>
      <c r="V96" t="s">
        <v>31</v>
      </c>
      <c r="X96">
        <f>_xll.BDP("NOS PL Equity","SR480")</f>
        <v>0</v>
      </c>
      <c r="Y96">
        <f>_xll.BDP("NOS PL Equity","SR477")</f>
        <v>4.636965274810791</v>
      </c>
    </row>
    <row r="97" spans="1:25" x14ac:dyDescent="0.25">
      <c r="A97" t="s">
        <v>133</v>
      </c>
      <c r="B97" t="str">
        <f>_xll.BDP("EXCL IJ Equity","DS192")</f>
        <v>XLSMART TELECOM</v>
      </c>
      <c r="C97">
        <f>_xll.BDP("EXCL IJ Equity","RR910","DS215=USD","DY339=UNIT")</f>
        <v>3327233775.5756087</v>
      </c>
      <c r="D97" t="str">
        <f>_xll.BDP("EXCL IJ Equity","DX129")</f>
        <v>ID</v>
      </c>
      <c r="F97">
        <f>_xll.BDP("EXCL IJ Equity","ST058")</f>
        <v>40.6</v>
      </c>
      <c r="G97">
        <f>_xll.BDP("EXCL IJ Equity","SR468")</f>
        <v>26.5</v>
      </c>
      <c r="I97">
        <f>_xll.BDP("EXCL IJ Equity","SR001")</f>
        <v>3.2799999713897705</v>
      </c>
      <c r="J97">
        <f>_xll.BDP("EXCL IJ Equity","SR002")</f>
        <v>2.0427200794219971</v>
      </c>
      <c r="K97">
        <f>_xll.BDP("EXCL IJ Equity","SR267")</f>
        <v>0.73529410362243652</v>
      </c>
      <c r="L97" t="s">
        <v>40</v>
      </c>
      <c r="N97">
        <f>_xll.BDP("EXCL IJ Equity","SR238")</f>
        <v>0</v>
      </c>
      <c r="O97">
        <f>_xll.BDP("EXCL IJ Equity","SR205")</f>
        <v>3.0593948364257813</v>
      </c>
      <c r="P97">
        <f>_xll.BDP("EXCL IJ Equity","SR211")</f>
        <v>10</v>
      </c>
      <c r="Q97">
        <f>_xll.BDP("EXCL IJ Equity","SR235")</f>
        <v>3.6583123207092285</v>
      </c>
      <c r="S97">
        <f>_xll.BDP("EXCL IJ Equity","SR259")</f>
        <v>0</v>
      </c>
      <c r="T97">
        <f>_xll.BDP("EXCL IJ Equity","SR263")</f>
        <v>1</v>
      </c>
      <c r="U97" t="s">
        <v>22</v>
      </c>
      <c r="V97" t="s">
        <v>31</v>
      </c>
      <c r="X97">
        <f>_xll.BDP("EXCL IJ Equity","SR480")</f>
        <v>0</v>
      </c>
      <c r="Y97">
        <f>_xll.BDP("EXCL IJ Equity","SR477")</f>
        <v>1.147273063659668</v>
      </c>
    </row>
    <row r="98" spans="1:25" x14ac:dyDescent="0.25">
      <c r="A98" t="s">
        <v>134</v>
      </c>
      <c r="B98" t="str">
        <f>_xll.BDP("300638 CH Equity","DS192")</f>
        <v>FIBOCOM WIRELE-A</v>
      </c>
      <c r="C98">
        <f>_xll.BDP("300638 CH Equity","RR910","DS215=USD","DY339=UNIT")</f>
        <v>3026880913.0931964</v>
      </c>
      <c r="D98" t="str">
        <f>_xll.BDP("300638 CH Equity","DX129")</f>
        <v>CN</v>
      </c>
      <c r="F98">
        <f>_xll.BDP("300638 CH Equity","ST058")</f>
        <v>78.8</v>
      </c>
      <c r="G98">
        <f>_xll.BDP("300638 CH Equity","SR468")</f>
        <v>76.5</v>
      </c>
      <c r="I98">
        <f>_xll.BDP("300638 CH Equity","SR001")</f>
        <v>4.7600002288818359</v>
      </c>
      <c r="J98">
        <f>_xll.BDP("300638 CH Equity","SR002")</f>
        <v>4.548546314239502</v>
      </c>
      <c r="K98">
        <f>_xll.BDP("300638 CH Equity","SR267")</f>
        <v>0.73529410362243652</v>
      </c>
      <c r="L98" t="s">
        <v>40</v>
      </c>
      <c r="N98">
        <f>_xll.BDP("300638 CH Equity","SR238")</f>
        <v>0</v>
      </c>
      <c r="O98">
        <f>_xll.BDP("300638 CH Equity","SR205")</f>
        <v>9.898982048034668</v>
      </c>
      <c r="P98">
        <f>_xll.BDP("300638 CH Equity","SR211")</f>
        <v>10</v>
      </c>
      <c r="Q98">
        <f>_xll.BDP("300638 CH Equity","SR235")</f>
        <v>0</v>
      </c>
      <c r="S98">
        <f>_xll.BDP("300638 CH Equity","SR259")</f>
        <v>0</v>
      </c>
      <c r="T98">
        <f>_xll.BDP("300638 CH Equity","SR263")</f>
        <v>1</v>
      </c>
      <c r="U98" t="s">
        <v>22</v>
      </c>
      <c r="V98" t="s">
        <v>31</v>
      </c>
      <c r="X98">
        <f>_xll.BDP("300638 CH Equity","SR480")</f>
        <v>0</v>
      </c>
      <c r="Y98">
        <f>_xll.BDP("300638 CH Equity","SR477")</f>
        <v>9.8568916320800781</v>
      </c>
    </row>
    <row r="99" spans="1:25" x14ac:dyDescent="0.25">
      <c r="A99" t="s">
        <v>135</v>
      </c>
      <c r="B99" t="str">
        <f>_xll.BDP("NETLINK SP Equity","DS192")</f>
        <v>NETLINK NBN TRUS</v>
      </c>
      <c r="C99">
        <f>_xll.BDP("NETLINK SP Equity","RR910","DS215=USD","DY339=UNIT")</f>
        <v>3038068154.7360229</v>
      </c>
      <c r="D99" t="str">
        <f>_xll.BDP("NETLINK SP Equity","DX129")</f>
        <v>SG</v>
      </c>
      <c r="F99">
        <f>_xll.BDP("NETLINK SP Equity","ST058")</f>
        <v>60.6</v>
      </c>
      <c r="G99">
        <f>_xll.BDP("NETLINK SP Equity","SR468")</f>
        <v>71.2</v>
      </c>
      <c r="I99">
        <f>_xll.BDP("NETLINK SP Equity","SR001")</f>
        <v>4</v>
      </c>
      <c r="J99">
        <f>_xll.BDP("NETLINK SP Equity","SR002")</f>
        <v>4.4207067489624023</v>
      </c>
      <c r="K99">
        <f>_xll.BDP("NETLINK SP Equity","SR267")</f>
        <v>0.58823531866073608</v>
      </c>
      <c r="L99" t="s">
        <v>43</v>
      </c>
      <c r="N99">
        <f>_xll.BDP("NETLINK SP Equity","SR238")</f>
        <v>0</v>
      </c>
      <c r="O99">
        <f>_xll.BDP("NETLINK SP Equity","SR205")</f>
        <v>9.1489982604980469</v>
      </c>
      <c r="P99">
        <f>_xll.BDP("NETLINK SP Equity","SR211")</f>
        <v>10</v>
      </c>
      <c r="Q99">
        <f>_xll.BDP("NETLINK SP Equity","SR235")</f>
        <v>1.9747449159622192</v>
      </c>
      <c r="S99">
        <f>_xll.BDP("NETLINK SP Equity","SR259")</f>
        <v>0</v>
      </c>
      <c r="T99">
        <f>_xll.BDP("NETLINK SP Equity","SR263")</f>
        <v>0.80000001192092896</v>
      </c>
      <c r="U99" t="s">
        <v>22</v>
      </c>
      <c r="V99" t="s">
        <v>44</v>
      </c>
      <c r="X99">
        <f>_xll.BDP("NETLINK SP Equity","SR480")</f>
        <v>0</v>
      </c>
      <c r="Y99">
        <f>_xll.BDP("NETLINK SP Equity","SR477")</f>
        <v>9.8406877517700195</v>
      </c>
    </row>
    <row r="100" spans="1:25" x14ac:dyDescent="0.25">
      <c r="A100" t="s">
        <v>136</v>
      </c>
      <c r="B100" t="str">
        <f>_xll.BDP("OTEL OM Equity","DS192")</f>
        <v>OMAN TELECOMMUNI</v>
      </c>
      <c r="C100">
        <f>_xll.BDP("OTEL OM Equity","RR910","DS215=USD","DY339=UNIT")</f>
        <v>2990337359.4348588</v>
      </c>
      <c r="D100" t="str">
        <f>_xll.BDP("OTEL OM Equity","DX129")</f>
        <v>OM</v>
      </c>
      <c r="F100">
        <f>_xll.BDP("OTEL OM Equity","ST058")</f>
        <v>18.5</v>
      </c>
      <c r="G100">
        <f>_xll.BDP("OTEL OM Equity","SR468")</f>
        <v>57.1</v>
      </c>
      <c r="I100">
        <f>_xll.BDP("OTEL OM Equity","SR001")</f>
        <v>2.4700000286102295</v>
      </c>
      <c r="J100">
        <f>_xll.BDP("OTEL OM Equity","SR002")</f>
        <v>3.4285657405853271</v>
      </c>
      <c r="K100">
        <f>_xll.BDP("OTEL OM Equity","SR267")</f>
        <v>0.29411765933036804</v>
      </c>
      <c r="L100" t="s">
        <v>21</v>
      </c>
      <c r="N100">
        <f>_xll.BDP("OTEL OM Equity","SR238")</f>
        <v>0</v>
      </c>
      <c r="O100">
        <f>_xll.BDP("OTEL OM Equity","SR205")</f>
        <v>6.9179153442382813</v>
      </c>
      <c r="P100">
        <f>_xll.BDP("OTEL OM Equity","SR211")</f>
        <v>10</v>
      </c>
      <c r="Q100">
        <f>_xll.BDP("OTEL OM Equity","SR235")</f>
        <v>0</v>
      </c>
      <c r="S100">
        <f>_xll.BDP("OTEL OM Equity","SR259")</f>
        <v>0</v>
      </c>
      <c r="T100">
        <f>_xll.BDP("OTEL OM Equity","SR263")</f>
        <v>0.40000000596046448</v>
      </c>
      <c r="U100" t="s">
        <v>22</v>
      </c>
      <c r="V100" t="s">
        <v>23</v>
      </c>
      <c r="X100">
        <f>_xll.BDP("OTEL OM Equity","SR480")</f>
        <v>0</v>
      </c>
      <c r="Y100">
        <f>_xll.BDP("OTEL OM Equity","SR477")</f>
        <v>9.2215232849121094</v>
      </c>
    </row>
    <row r="101" spans="1:25" x14ac:dyDescent="0.25">
      <c r="A101" t="s">
        <v>137</v>
      </c>
      <c r="B101" t="str">
        <f>_xll.BDP("MEGACPO MM Equity","DS192")</f>
        <v>MEGACABLE-CPO</v>
      </c>
      <c r="C101">
        <f>_xll.BDP("MEGACPO MM Equity","RR910","DS215=USD","DY339=UNIT")</f>
        <v>2937125816.461216</v>
      </c>
      <c r="D101" t="str">
        <f>_xll.BDP("MEGACPO MM Equity","DX129")</f>
        <v>MX</v>
      </c>
      <c r="F101">
        <f>_xll.BDP("MEGACPO MM Equity","ST058")</f>
        <v>38.200000000000003</v>
      </c>
      <c r="G101">
        <f>_xll.BDP("MEGACPO MM Equity","SR468")</f>
        <v>32.9</v>
      </c>
      <c r="I101">
        <f>_xll.BDP("MEGACPO MM Equity","SR001")</f>
        <v>3.2000000476837158</v>
      </c>
      <c r="J101">
        <f>_xll.BDP("MEGACPO MM Equity","SR002")</f>
        <v>2.3456201553344727</v>
      </c>
      <c r="K101">
        <f>_xll.BDP("MEGACPO MM Equity","SR267")</f>
        <v>0.58823531866073608</v>
      </c>
      <c r="L101" t="s">
        <v>43</v>
      </c>
      <c r="N101">
        <f>_xll.BDP("MEGACPO MM Equity","SR238")</f>
        <v>0</v>
      </c>
      <c r="O101">
        <f>_xll.BDP("MEGACPO MM Equity","SR205")</f>
        <v>3.4804787635803223</v>
      </c>
      <c r="P101">
        <f>_xll.BDP("MEGACPO MM Equity","SR211")</f>
        <v>10</v>
      </c>
      <c r="Q101">
        <f>_xll.BDP("MEGACPO MM Equity","SR235")</f>
        <v>7.3120193481445313</v>
      </c>
      <c r="S101">
        <f>_xll.BDP("MEGACPO MM Equity","SR259")</f>
        <v>0</v>
      </c>
      <c r="T101">
        <f>_xll.BDP("MEGACPO MM Equity","SR263")</f>
        <v>0.80000001192092896</v>
      </c>
      <c r="U101" t="s">
        <v>22</v>
      </c>
      <c r="V101" t="s">
        <v>44</v>
      </c>
      <c r="X101">
        <f>_xll.BDP("MEGACPO MM Equity","SR480")</f>
        <v>0</v>
      </c>
      <c r="Y101">
        <f>_xll.BDP("MEGACPO MM Equity","SR477")</f>
        <v>1.7711596488952637</v>
      </c>
    </row>
    <row r="102" spans="1:25" x14ac:dyDescent="0.25">
      <c r="A102" t="s">
        <v>138</v>
      </c>
      <c r="B102" t="str">
        <f>_xll.BDP("VFQS QD Equity","DS192")</f>
        <v>VODAFONE QATAR</v>
      </c>
      <c r="C102">
        <f>_xll.BDP("VFQS QD Equity","RR910","DS215=USD","DY339=UNIT")</f>
        <v>2899336081.9587426</v>
      </c>
      <c r="D102" t="str">
        <f>_xll.BDP("VFQS QD Equity","DX129")</f>
        <v>QA</v>
      </c>
      <c r="F102">
        <f>_xll.BDP("VFQS QD Equity","ST058")</f>
        <v>3.5</v>
      </c>
      <c r="G102">
        <f>_xll.BDP("VFQS QD Equity","SR468")</f>
        <v>4.4000000000000004</v>
      </c>
      <c r="I102">
        <f>_xll.BDP("VFQS QD Equity","SR001")</f>
        <v>1.1399999856948853</v>
      </c>
      <c r="J102">
        <f>_xll.BDP("VFQS QD Equity","SR002")</f>
        <v>0.10578136146068573</v>
      </c>
      <c r="K102">
        <f>_xll.BDP("VFQS QD Equity","SR267")</f>
        <v>0</v>
      </c>
      <c r="L102" t="s">
        <v>22</v>
      </c>
      <c r="N102">
        <f>_xll.BDP("VFQS QD Equity","SR238")</f>
        <v>0</v>
      </c>
      <c r="O102">
        <f>_xll.BDP("VFQS QD Equity","SR205")</f>
        <v>0</v>
      </c>
      <c r="P102">
        <f>_xll.BDP("VFQS QD Equity","SR211")</f>
        <v>0</v>
      </c>
      <c r="Q102">
        <f>_xll.BDP("VFQS QD Equity","SR235")</f>
        <v>3.6583123207092285</v>
      </c>
      <c r="S102">
        <f>_xll.BDP("VFQS QD Equity","SR259")</f>
        <v>0</v>
      </c>
      <c r="T102">
        <f>_xll.BDP("VFQS QD Equity","SR263")</f>
        <v>0</v>
      </c>
      <c r="U102" t="s">
        <v>22</v>
      </c>
      <c r="V102" t="s">
        <v>22</v>
      </c>
      <c r="X102">
        <f>_xll.BDP("VFQS QD Equity","SR480")</f>
        <v>0</v>
      </c>
      <c r="Y102">
        <f>_xll.BDP("VFQS QD Equity","SR477")</f>
        <v>0</v>
      </c>
    </row>
    <row r="103" spans="1:25" x14ac:dyDescent="0.25">
      <c r="A103" t="s">
        <v>139</v>
      </c>
      <c r="B103" t="str">
        <f>_xll.BDP("600959 CH Equity","DS192")</f>
        <v>JIANGSU BROADC-A</v>
      </c>
      <c r="C103">
        <f>_xll.BDP("600959 CH Equity","RR910","DS215=USD","DY339=UNIT")</f>
        <v>2839695180.3292332</v>
      </c>
      <c r="D103" t="str">
        <f>_xll.BDP("600959 CH Equity","DX129")</f>
        <v>CN</v>
      </c>
      <c r="F103">
        <f>_xll.BDP("600959 CH Equity","ST058")</f>
        <v>44.1</v>
      </c>
      <c r="G103">
        <f>_xll.BDP("600959 CH Equity","SR468")</f>
        <v>20.6</v>
      </c>
      <c r="I103">
        <f>_xll.BDP("600959 CH Equity","SR001")</f>
        <v>3.4100000858306885</v>
      </c>
      <c r="J103">
        <f>_xll.BDP("600959 CH Equity","SR002")</f>
        <v>1.4805750846862793</v>
      </c>
      <c r="K103">
        <f>_xll.BDP("600959 CH Equity","SR267")</f>
        <v>0.44117647409439087</v>
      </c>
      <c r="L103" t="s">
        <v>26</v>
      </c>
      <c r="N103">
        <f>_xll.BDP("600959 CH Equity","SR238")</f>
        <v>0</v>
      </c>
      <c r="O103">
        <f>_xll.BDP("600959 CH Equity","SR205")</f>
        <v>1.8427170515060425</v>
      </c>
      <c r="P103">
        <f>_xll.BDP("600959 CH Equity","SR211")</f>
        <v>10</v>
      </c>
      <c r="Q103">
        <f>_xll.BDP("600959 CH Equity","SR235")</f>
        <v>3.6583123207092285</v>
      </c>
      <c r="S103">
        <f>_xll.BDP("600959 CH Equity","SR259")</f>
        <v>0</v>
      </c>
      <c r="T103">
        <f>_xll.BDP("600959 CH Equity","SR263")</f>
        <v>0.60000002384185791</v>
      </c>
      <c r="U103" t="s">
        <v>22</v>
      </c>
      <c r="V103" t="s">
        <v>27</v>
      </c>
      <c r="X103">
        <f>_xll.BDP("600959 CH Equity","SR480")</f>
        <v>0</v>
      </c>
      <c r="Y103">
        <f>_xll.BDP("600959 CH Equity","SR477")</f>
        <v>1.0713471174240112</v>
      </c>
    </row>
    <row r="104" spans="1:25" x14ac:dyDescent="0.25">
      <c r="A104" t="s">
        <v>140</v>
      </c>
      <c r="B104" t="str">
        <f>_xll.BDP("PROX BB Equity","DS192")</f>
        <v>PROXIMUS</v>
      </c>
      <c r="C104">
        <f>_xll.BDP("PROX BB Equity","RR910","DS215=USD","DY339=UNIT")</f>
        <v>2773250702.0563064</v>
      </c>
      <c r="D104" t="str">
        <f>_xll.BDP("PROX BB Equity","DX129")</f>
        <v>BE</v>
      </c>
      <c r="F104">
        <f>_xll.BDP("PROX BB Equity","ST058")</f>
        <v>83.2</v>
      </c>
      <c r="G104">
        <f>_xll.BDP("PROX BB Equity","SR468")</f>
        <v>92.4</v>
      </c>
      <c r="I104">
        <f>_xll.BDP("PROX BB Equity","SR001")</f>
        <v>4.940000057220459</v>
      </c>
      <c r="J104">
        <f>_xll.BDP("PROX BB Equity","SR002")</f>
        <v>6.402646541595459</v>
      </c>
      <c r="K104">
        <f>_xll.BDP("PROX BB Equity","SR267")</f>
        <v>0.79411762952804565</v>
      </c>
      <c r="L104" t="s">
        <v>29</v>
      </c>
      <c r="N104">
        <f>_xll.BDP("PROX BB Equity","SR238")</f>
        <v>3</v>
      </c>
      <c r="O104">
        <f>_xll.BDP("PROX BB Equity","SR205")</f>
        <v>9.226841926574707</v>
      </c>
      <c r="P104">
        <f>_xll.BDP("PROX BB Equity","SR211")</f>
        <v>10</v>
      </c>
      <c r="Q104">
        <f>_xll.BDP("PROX BB Equity","SR235")</f>
        <v>3.6583123207092285</v>
      </c>
      <c r="S104">
        <f>_xll.BDP("PROX BB Equity","SR259")</f>
        <v>0</v>
      </c>
      <c r="T104">
        <f>_xll.BDP("PROX BB Equity","SR263")</f>
        <v>1</v>
      </c>
      <c r="U104" t="s">
        <v>22</v>
      </c>
      <c r="V104" t="s">
        <v>31</v>
      </c>
      <c r="X104">
        <f>_xll.BDP("PROX BB Equity","SR480")</f>
        <v>10</v>
      </c>
      <c r="Y104">
        <f>_xll.BDP("PROX BB Equity","SR477")</f>
        <v>8.9046916961669922</v>
      </c>
    </row>
    <row r="105" spans="1:25" x14ac:dyDescent="0.25">
      <c r="A105" t="s">
        <v>141</v>
      </c>
      <c r="B105" t="str">
        <f>_xll.BDP("ZAINKSA AB Equity","DS192")</f>
        <v>MOBILE TELECOMMU</v>
      </c>
      <c r="C105">
        <f>_xll.BDP("ZAINKSA AB Equity","RR910","DS215=USD","DY339=UNIT")</f>
        <v>2749183629.9042959</v>
      </c>
      <c r="D105" t="str">
        <f>_xll.BDP("ZAINKSA AB Equity","DX129")</f>
        <v>SA</v>
      </c>
      <c r="F105">
        <f>_xll.BDP("ZAINKSA AB Equity","ST058")</f>
        <v>25.9</v>
      </c>
      <c r="G105">
        <f>_xll.BDP("ZAINKSA AB Equity","SR468")</f>
        <v>17.600000000000001</v>
      </c>
      <c r="I105">
        <f>_xll.BDP("ZAINKSA AB Equity","SR001")</f>
        <v>2.7599999904632568</v>
      </c>
      <c r="J105">
        <f>_xll.BDP("ZAINKSA AB Equity","SR002")</f>
        <v>1.3501091003417969</v>
      </c>
      <c r="K105">
        <f>_xll.BDP("ZAINKSA AB Equity","SR267")</f>
        <v>0.58823531866073608</v>
      </c>
      <c r="L105" t="s">
        <v>43</v>
      </c>
      <c r="N105">
        <f>_xll.BDP("ZAINKSA AB Equity","SR238")</f>
        <v>0</v>
      </c>
      <c r="O105">
        <f>_xll.BDP("ZAINKSA AB Equity","SR205")</f>
        <v>1.6962074041366577</v>
      </c>
      <c r="P105">
        <f>_xll.BDP("ZAINKSA AB Equity","SR211")</f>
        <v>10</v>
      </c>
      <c r="Q105">
        <f>_xll.BDP("ZAINKSA AB Equity","SR235")</f>
        <v>1.9747449159622192</v>
      </c>
      <c r="S105">
        <f>_xll.BDP("ZAINKSA AB Equity","SR259")</f>
        <v>0</v>
      </c>
      <c r="T105">
        <f>_xll.BDP("ZAINKSA AB Equity","SR263")</f>
        <v>0.80000001192092896</v>
      </c>
      <c r="U105" t="s">
        <v>22</v>
      </c>
      <c r="V105" t="s">
        <v>44</v>
      </c>
      <c r="X105">
        <f>_xll.BDP("ZAINKSA AB Equity","SR480")</f>
        <v>0</v>
      </c>
      <c r="Y105">
        <f>_xll.BDP("ZAINKSA AB Equity","SR477")</f>
        <v>0.77334684133529663</v>
      </c>
    </row>
    <row r="106" spans="1:25" x14ac:dyDescent="0.25">
      <c r="A106" t="s">
        <v>142</v>
      </c>
      <c r="B106" t="str">
        <f>_xll.BDP("TDC MK Equity","DS192")</f>
        <v>TIME DOTCOM BHD</v>
      </c>
      <c r="C106">
        <f>_xll.BDP("TDC MK Equity","RR910","DS215=USD","DY339=UNIT")</f>
        <v>2720902973.8454156</v>
      </c>
      <c r="D106" t="str">
        <f>_xll.BDP("TDC MK Equity","DX129")</f>
        <v>MY</v>
      </c>
      <c r="F106">
        <f>_xll.BDP("TDC MK Equity","ST058")</f>
        <v>34.4</v>
      </c>
      <c r="G106">
        <f>_xll.BDP("TDC MK Equity","SR468")</f>
        <v>34.700000000000003</v>
      </c>
      <c r="I106">
        <f>_xll.BDP("TDC MK Equity","SR001")</f>
        <v>3.0899999141693115</v>
      </c>
      <c r="J106">
        <f>_xll.BDP("TDC MK Equity","SR002")</f>
        <v>2.3745787143707275</v>
      </c>
      <c r="K106">
        <f>_xll.BDP("TDC MK Equity","SR267")</f>
        <v>0.44117647409439087</v>
      </c>
      <c r="L106" t="s">
        <v>26</v>
      </c>
      <c r="N106">
        <f>_xll.BDP("TDC MK Equity","SR238")</f>
        <v>0</v>
      </c>
      <c r="O106">
        <f>_xll.BDP("TDC MK Equity","SR205")</f>
        <v>3.8165981769561768</v>
      </c>
      <c r="P106">
        <f>_xll.BDP("TDC MK Equity","SR211")</f>
        <v>10</v>
      </c>
      <c r="Q106">
        <f>_xll.BDP("TDC MK Equity","SR235")</f>
        <v>3.6583123207092285</v>
      </c>
      <c r="S106">
        <f>_xll.BDP("TDC MK Equity","SR259")</f>
        <v>0</v>
      </c>
      <c r="T106">
        <f>_xll.BDP("TDC MK Equity","SR263")</f>
        <v>0.60000002384185791</v>
      </c>
      <c r="U106" t="s">
        <v>22</v>
      </c>
      <c r="V106" t="s">
        <v>27</v>
      </c>
      <c r="X106">
        <f>_xll.BDP("TDC MK Equity","SR480")</f>
        <v>0</v>
      </c>
      <c r="Y106">
        <f>_xll.BDP("TDC MK Equity","SR477")</f>
        <v>3.2992303371429443</v>
      </c>
    </row>
    <row r="107" spans="1:25" x14ac:dyDescent="0.25">
      <c r="A107" t="s">
        <v>143</v>
      </c>
      <c r="B107" t="str">
        <f>_xll.BDP("GRAM BD Equity","DS192")</f>
        <v>GRAMEENPHONE LTD</v>
      </c>
      <c r="C107">
        <f>_xll.BDP("GRAM BD Equity","RR910","DS215=USD","DY339=UNIT")</f>
        <v>2655717377.8324299</v>
      </c>
      <c r="D107" t="str">
        <f>_xll.BDP("GRAM BD Equity","DX129")</f>
        <v>BD</v>
      </c>
      <c r="F107">
        <f>_xll.BDP("GRAM BD Equity","ST058")</f>
        <v>68.8</v>
      </c>
      <c r="G107">
        <f>_xll.BDP("GRAM BD Equity","SR468")</f>
        <v>77.099999999999994</v>
      </c>
      <c r="I107">
        <f>_xll.BDP("GRAM BD Equity","SR001")</f>
        <v>4.3299999237060547</v>
      </c>
      <c r="J107">
        <f>_xll.BDP("GRAM BD Equity","SR002")</f>
        <v>4.6121969223022461</v>
      </c>
      <c r="K107">
        <f>_xll.BDP("GRAM BD Equity","SR267")</f>
        <v>0.85294115543365479</v>
      </c>
      <c r="L107" t="s">
        <v>66</v>
      </c>
      <c r="N107">
        <f>_xll.BDP("GRAM BD Equity","SR238")</f>
        <v>2.2388417720794678</v>
      </c>
      <c r="O107">
        <f>_xll.BDP("GRAM BD Equity","SR205")</f>
        <v>6.0637378692626953</v>
      </c>
      <c r="P107">
        <f>_xll.BDP("GRAM BD Equity","SR211")</f>
        <v>10</v>
      </c>
      <c r="Q107">
        <f>_xll.BDP("GRAM BD Equity","SR235")</f>
        <v>3.6583123207092285</v>
      </c>
      <c r="S107">
        <f>_xll.BDP("GRAM BD Equity","SR259")</f>
        <v>0.4444444477558136</v>
      </c>
      <c r="T107">
        <f>_xll.BDP("GRAM BD Equity","SR263")</f>
        <v>1</v>
      </c>
      <c r="U107" t="s">
        <v>26</v>
      </c>
      <c r="V107" t="s">
        <v>31</v>
      </c>
      <c r="X107">
        <f>_xll.BDP("GRAM BD Equity","SR480")</f>
        <v>1.8181678056716919</v>
      </c>
      <c r="Y107">
        <f>_xll.BDP("GRAM BD Equity","SR477")</f>
        <v>4.4236283302307129</v>
      </c>
    </row>
    <row r="108" spans="1:25" x14ac:dyDescent="0.25">
      <c r="A108" t="s">
        <v>144</v>
      </c>
      <c r="B108" t="str">
        <f>_xll.BDP("UNIT US Equity","DS192")</f>
        <v>UNITI GROUP INC</v>
      </c>
      <c r="C108">
        <f>_xll.BDP("UNIT US Equity","RR910","DS215=USD","DY339=UNIT")</f>
        <v>2637081737.3199997</v>
      </c>
      <c r="D108" t="str">
        <f>_xll.BDP("UNIT US Equity","DX129")</f>
        <v>US</v>
      </c>
      <c r="F108">
        <f>_xll.BDP("UNIT US Equity","ST058")</f>
        <v>41.8</v>
      </c>
      <c r="G108">
        <f>_xll.BDP("UNIT US Equity","SR468")</f>
        <v>65.3</v>
      </c>
      <c r="I108">
        <f>_xll.BDP("UNIT US Equity","SR001")</f>
        <v>3.2999999523162842</v>
      </c>
      <c r="J108">
        <f>_xll.BDP("UNIT US Equity","SR002")</f>
        <v>4.0177807807922363</v>
      </c>
      <c r="K108">
        <f>_xll.BDP("UNIT US Equity","SR267")</f>
        <v>0.44117647409439087</v>
      </c>
      <c r="L108" t="s">
        <v>26</v>
      </c>
      <c r="N108">
        <f>_xll.BDP("UNIT US Equity","SR238")</f>
        <v>0</v>
      </c>
      <c r="O108">
        <f>_xll.BDP("UNIT US Equity","SR205")</f>
        <v>8.087397575378418</v>
      </c>
      <c r="P108">
        <f>_xll.BDP("UNIT US Equity","SR211")</f>
        <v>10</v>
      </c>
      <c r="Q108">
        <f>_xll.BDP("UNIT US Equity","SR235")</f>
        <v>1.9747449159622192</v>
      </c>
      <c r="S108">
        <f>_xll.BDP("UNIT US Equity","SR259")</f>
        <v>0</v>
      </c>
      <c r="T108">
        <f>_xll.BDP("UNIT US Equity","SR263")</f>
        <v>0.60000002384185791</v>
      </c>
      <c r="U108" t="s">
        <v>22</v>
      </c>
      <c r="V108" t="s">
        <v>27</v>
      </c>
      <c r="X108">
        <f>_xll.BDP("UNIT US Equity","SR480")</f>
        <v>0</v>
      </c>
      <c r="Y108">
        <f>_xll.BDP("UNIT US Equity","SR477")</f>
        <v>9.5131740570068359</v>
      </c>
    </row>
    <row r="109" spans="1:25" x14ac:dyDescent="0.25">
      <c r="A109" t="s">
        <v>145</v>
      </c>
      <c r="B109" t="str">
        <f>_xll.BDP("CNU NZ Equity","DS192")</f>
        <v>CHORUS LTD</v>
      </c>
      <c r="C109">
        <f>_xll.BDP("CNU NZ Equity","RR910","DS215=USD","DY339=UNIT")</f>
        <v>2428825103.8955426</v>
      </c>
      <c r="D109" t="str">
        <f>_xll.BDP("CNU NZ Equity","DX129")</f>
        <v>NZ</v>
      </c>
      <c r="F109">
        <f>_xll.BDP("CNU NZ Equity","ST058")</f>
        <v>70.900000000000006</v>
      </c>
      <c r="G109">
        <f>_xll.BDP("CNU NZ Equity","SR468")</f>
        <v>70</v>
      </c>
      <c r="I109">
        <f>_xll.BDP("CNU NZ Equity","SR001")</f>
        <v>4.3600001335144043</v>
      </c>
      <c r="J109">
        <f>_xll.BDP("CNU NZ Equity","SR002")</f>
        <v>4.3598308563232422</v>
      </c>
      <c r="K109">
        <f>_xll.BDP("CNU NZ Equity","SR267")</f>
        <v>0.73529410362243652</v>
      </c>
      <c r="L109" t="s">
        <v>40</v>
      </c>
      <c r="N109">
        <f>_xll.BDP("CNU NZ Equity","SR238")</f>
        <v>0</v>
      </c>
      <c r="O109">
        <f>_xll.BDP("CNU NZ Equity","SR205")</f>
        <v>8.7520895004272461</v>
      </c>
      <c r="P109">
        <f>_xll.BDP("CNU NZ Equity","SR211")</f>
        <v>10</v>
      </c>
      <c r="Q109">
        <f>_xll.BDP("CNU NZ Equity","SR235")</f>
        <v>3.6583123207092285</v>
      </c>
      <c r="S109">
        <f>_xll.BDP("CNU NZ Equity","SR259")</f>
        <v>0</v>
      </c>
      <c r="T109">
        <f>_xll.BDP("CNU NZ Equity","SR263")</f>
        <v>1</v>
      </c>
      <c r="U109" t="s">
        <v>22</v>
      </c>
      <c r="V109" t="s">
        <v>31</v>
      </c>
      <c r="X109">
        <f>_xll.BDP("CNU NZ Equity","SR480")</f>
        <v>0</v>
      </c>
      <c r="Y109">
        <f>_xll.BDP("CNU NZ Equity","SR477")</f>
        <v>8.2321262359619141</v>
      </c>
    </row>
    <row r="110" spans="1:25" x14ac:dyDescent="0.25">
      <c r="A110" t="s">
        <v>146</v>
      </c>
      <c r="B110" t="str">
        <f>_xll.BDP("SPK NZ Equity","DS192")</f>
        <v>SPARK NEW ZEALAN</v>
      </c>
      <c r="C110">
        <f>_xll.BDP("SPK NZ Equity","RR910","DS215=USD","DY339=UNIT")</f>
        <v>2378161665.0307345</v>
      </c>
      <c r="D110" t="str">
        <f>_xll.BDP("SPK NZ Equity","DX129")</f>
        <v>NZ</v>
      </c>
      <c r="F110">
        <f>_xll.BDP("SPK NZ Equity","ST058")</f>
        <v>89.4</v>
      </c>
      <c r="G110">
        <f>_xll.BDP("SPK NZ Equity","SR468")</f>
        <v>91.2</v>
      </c>
      <c r="I110">
        <f>_xll.BDP("SPK NZ Equity","SR001")</f>
        <v>5.3899998664855957</v>
      </c>
      <c r="J110">
        <f>_xll.BDP("SPK NZ Equity","SR002")</f>
        <v>6.1210284233093262</v>
      </c>
      <c r="K110">
        <f>_xll.BDP("SPK NZ Equity","SR267")</f>
        <v>0.64705884456634521</v>
      </c>
      <c r="L110" t="s">
        <v>56</v>
      </c>
      <c r="N110">
        <f>_xll.BDP("SPK NZ Equity","SR238")</f>
        <v>4.0501618385314941</v>
      </c>
      <c r="O110">
        <f>_xll.BDP("SPK NZ Equity","SR205")</f>
        <v>7.5285658836364746</v>
      </c>
      <c r="P110">
        <f>_xll.BDP("SPK NZ Equity","SR211")</f>
        <v>10</v>
      </c>
      <c r="Q110">
        <f>_xll.BDP("SPK NZ Equity","SR235")</f>
        <v>3.6583123207092285</v>
      </c>
      <c r="S110">
        <f>_xll.BDP("SPK NZ Equity","SR259")</f>
        <v>0.2222222238779068</v>
      </c>
      <c r="T110">
        <f>_xll.BDP("SPK NZ Equity","SR263")</f>
        <v>0.80000001192092896</v>
      </c>
      <c r="U110" t="s">
        <v>30</v>
      </c>
      <c r="V110" t="s">
        <v>44</v>
      </c>
      <c r="X110">
        <f>_xll.BDP("SPK NZ Equity","SR480")</f>
        <v>6.2219467163085938</v>
      </c>
      <c r="Y110">
        <f>_xll.BDP("SPK NZ Equity","SR477")</f>
        <v>7.5338897705078125</v>
      </c>
    </row>
    <row r="111" spans="1:25" x14ac:dyDescent="0.25">
      <c r="A111" t="s">
        <v>147</v>
      </c>
      <c r="B111" t="str">
        <f>_xll.BDP("2477 HK Equity","DS192")</f>
        <v>WELLCELL HOLDING</v>
      </c>
      <c r="C111">
        <f>_xll.BDP("2477 HK Equity","RR910","DS215=USD","DY339=UNIT")</f>
        <v>2324957913.2937326</v>
      </c>
      <c r="D111" t="str">
        <f>_xll.BDP("2477 HK Equity","DX129")</f>
        <v>CN</v>
      </c>
      <c r="F111">
        <f>_xll.BDP("2477 HK Equity","ST058")</f>
        <v>17.600000000000001</v>
      </c>
      <c r="G111">
        <f>_xll.BDP("2477 HK Equity","SR468")</f>
        <v>62.4</v>
      </c>
      <c r="I111">
        <f>_xll.BDP("2477 HK Equity","SR001")</f>
        <v>2.440000057220459</v>
      </c>
      <c r="J111">
        <f>_xll.BDP("2477 HK Equity","SR002")</f>
        <v>3.9012434482574463</v>
      </c>
      <c r="K111">
        <f>_xll.BDP("2477 HK Equity","SR267")</f>
        <v>0.44117647409439087</v>
      </c>
      <c r="L111" t="s">
        <v>26</v>
      </c>
      <c r="N111">
        <f>_xll.BDP("2477 HK Equity","SR238")</f>
        <v>0</v>
      </c>
      <c r="O111">
        <f>_xll.BDP("2477 HK Equity","SR205")</f>
        <v>8.1588869094848633</v>
      </c>
      <c r="P111">
        <f>_xll.BDP("2477 HK Equity","SR211")</f>
        <v>10</v>
      </c>
      <c r="Q111">
        <f>_xll.BDP("2477 HK Equity","SR235")</f>
        <v>0</v>
      </c>
      <c r="S111">
        <f>_xll.BDP("2477 HK Equity","SR259")</f>
        <v>0</v>
      </c>
      <c r="T111">
        <f>_xll.BDP("2477 HK Equity","SR263")</f>
        <v>0.60000002384185791</v>
      </c>
      <c r="U111" t="s">
        <v>22</v>
      </c>
      <c r="V111" t="s">
        <v>27</v>
      </c>
      <c r="X111">
        <f>_xll.BDP("2477 HK Equity","SR480")</f>
        <v>0</v>
      </c>
      <c r="Y111">
        <f>_xll.BDP("2477 HK Equity","SR477")</f>
        <v>9.6171913146972656</v>
      </c>
    </row>
    <row r="112" spans="1:25" x14ac:dyDescent="0.25">
      <c r="A112" t="s">
        <v>148</v>
      </c>
      <c r="B112" t="str">
        <f>_xll.BDP("PTNR IT Equity","DS192")</f>
        <v>PARTNER COMM CO</v>
      </c>
      <c r="C112">
        <f>_xll.BDP("PTNR IT Equity","RR910","DS215=USD","DY339=UNIT")</f>
        <v>2321990027.4719296</v>
      </c>
      <c r="D112" t="str">
        <f>_xll.BDP("PTNR IT Equity","DX129")</f>
        <v>IL</v>
      </c>
      <c r="F112">
        <f>_xll.BDP("PTNR IT Equity","ST058")</f>
        <v>32.9</v>
      </c>
      <c r="G112">
        <f>_xll.BDP("PTNR IT Equity","SR468")</f>
        <v>45.3</v>
      </c>
      <c r="I112">
        <f>_xll.BDP("PTNR IT Equity","SR001")</f>
        <v>3</v>
      </c>
      <c r="J112">
        <f>_xll.BDP("PTNR IT Equity","SR002")</f>
        <v>2.8825170993804932</v>
      </c>
      <c r="K112">
        <f>_xll.BDP("PTNR IT Equity","SR267")</f>
        <v>0.44117647409439087</v>
      </c>
      <c r="L112" t="s">
        <v>26</v>
      </c>
      <c r="N112">
        <f>_xll.BDP("PTNR IT Equity","SR238")</f>
        <v>0</v>
      </c>
      <c r="O112">
        <f>_xll.BDP("PTNR IT Equity","SR205")</f>
        <v>6.7489891052246094</v>
      </c>
      <c r="P112">
        <f>_xll.BDP("PTNR IT Equity","SR211")</f>
        <v>0</v>
      </c>
      <c r="Q112">
        <f>_xll.BDP("PTNR IT Equity","SR235")</f>
        <v>3.6583123207092285</v>
      </c>
      <c r="S112">
        <f>_xll.BDP("PTNR IT Equity","SR259")</f>
        <v>0</v>
      </c>
      <c r="T112">
        <f>_xll.BDP("PTNR IT Equity","SR263")</f>
        <v>0.60000002384185791</v>
      </c>
      <c r="U112" t="s">
        <v>22</v>
      </c>
      <c r="V112" t="s">
        <v>27</v>
      </c>
      <c r="X112">
        <f>_xll.BDP("PTNR IT Equity","SR480")</f>
        <v>0</v>
      </c>
      <c r="Y112">
        <f>_xll.BDP("PTNR IT Equity","SR477")</f>
        <v>7.5658116340637207</v>
      </c>
    </row>
    <row r="113" spans="1:25" x14ac:dyDescent="0.25">
      <c r="A113" t="s">
        <v>149</v>
      </c>
      <c r="B113" t="str">
        <f>_xll.BDP("TUA AU Equity","DS192")</f>
        <v>TUAS LTD</v>
      </c>
      <c r="C113">
        <f>_xll.BDP("TUA AU Equity","RR910","DS215=USD","DY339=UNIT")</f>
        <v>2297121951.1873989</v>
      </c>
      <c r="D113" t="str">
        <f>_xll.BDP("TUA AU Equity","DX129")</f>
        <v>AU</v>
      </c>
      <c r="F113">
        <f>_xll.BDP("TUA AU Equity","ST058")</f>
        <v>5.9</v>
      </c>
      <c r="G113">
        <f>_xll.BDP("TUA AU Equity","SR468")</f>
        <v>4.4000000000000004</v>
      </c>
      <c r="I113">
        <f>_xll.BDP("TUA AU Equity","SR001")</f>
        <v>1.2699999809265137</v>
      </c>
      <c r="J113">
        <f>_xll.BDP("TUA AU Equity","SR002")</f>
        <v>0.10578136146068573</v>
      </c>
      <c r="K113">
        <f>_xll.BDP("TUA AU Equity","SR267")</f>
        <v>0</v>
      </c>
      <c r="L113" t="s">
        <v>22</v>
      </c>
      <c r="N113">
        <f>_xll.BDP("TUA AU Equity","SR238")</f>
        <v>0</v>
      </c>
      <c r="O113">
        <f>_xll.BDP("TUA AU Equity","SR205")</f>
        <v>0</v>
      </c>
      <c r="P113">
        <f>_xll.BDP("TUA AU Equity","SR211")</f>
        <v>0</v>
      </c>
      <c r="Q113">
        <f>_xll.BDP("TUA AU Equity","SR235")</f>
        <v>3.6583123207092285</v>
      </c>
      <c r="S113">
        <f>_xll.BDP("TUA AU Equity","SR259")</f>
        <v>0</v>
      </c>
      <c r="T113">
        <f>_xll.BDP("TUA AU Equity","SR263")</f>
        <v>0</v>
      </c>
      <c r="U113" t="s">
        <v>22</v>
      </c>
      <c r="V113" t="s">
        <v>22</v>
      </c>
      <c r="X113">
        <f>_xll.BDP("TUA AU Equity","SR480")</f>
        <v>0</v>
      </c>
      <c r="Y113">
        <f>_xll.BDP("TUA AU Equity","SR477")</f>
        <v>0</v>
      </c>
    </row>
    <row r="114" spans="1:25" x14ac:dyDescent="0.25">
      <c r="A114" t="s">
        <v>150</v>
      </c>
      <c r="B114" t="str">
        <f>_xll.BDP("BEYON BI Equity","DS192")</f>
        <v>BEYON BSC</v>
      </c>
      <c r="C114">
        <f>_xll.BDP("BEYON BI Equity","RR910","DS215=USD","DY339=UNIT")</f>
        <v>2068086269.5609322</v>
      </c>
      <c r="D114" t="str">
        <f>_xll.BDP("BEYON BI Equity","DX129")</f>
        <v>BH</v>
      </c>
      <c r="F114">
        <f>_xll.BDP("BEYON BI Equity","ST058")</f>
        <v>47.9</v>
      </c>
      <c r="G114">
        <f>_xll.BDP("BEYON BI Equity","SR468")</f>
        <v>41.2</v>
      </c>
      <c r="I114">
        <f>_xll.BDP("BEYON BI Equity","SR001")</f>
        <v>3.6099998950958252</v>
      </c>
      <c r="J114">
        <f>_xll.BDP("BEYON BI Equity","SR002")</f>
        <v>2.7611966133117676</v>
      </c>
      <c r="K114">
        <f>_xll.BDP("BEYON BI Equity","SR267")</f>
        <v>0.58823531866073608</v>
      </c>
      <c r="L114" t="s">
        <v>43</v>
      </c>
      <c r="N114">
        <f>_xll.BDP("BEYON BI Equity","SR238")</f>
        <v>0</v>
      </c>
      <c r="O114">
        <f>_xll.BDP("BEYON BI Equity","SR205")</f>
        <v>4.7284317016601563</v>
      </c>
      <c r="P114">
        <f>_xll.BDP("BEYON BI Equity","SR211")</f>
        <v>10</v>
      </c>
      <c r="Q114">
        <f>_xll.BDP("BEYON BI Equity","SR235")</f>
        <v>3.6583123207092285</v>
      </c>
      <c r="S114">
        <f>_xll.BDP("BEYON BI Equity","SR259")</f>
        <v>0</v>
      </c>
      <c r="T114">
        <f>_xll.BDP("BEYON BI Equity","SR263")</f>
        <v>0.80000001192092896</v>
      </c>
      <c r="U114" t="s">
        <v>22</v>
      </c>
      <c r="V114" t="s">
        <v>44</v>
      </c>
      <c r="X114">
        <f>_xll.BDP("BEYON BI Equity","SR480")</f>
        <v>0</v>
      </c>
      <c r="Y114">
        <f>_xll.BDP("BEYON BI Equity","SR477")</f>
        <v>3.5477066040039063</v>
      </c>
    </row>
    <row r="115" spans="1:25" x14ac:dyDescent="0.25">
      <c r="A115" t="s">
        <v>151</v>
      </c>
      <c r="B115" t="str">
        <f>_xll.BDP("CPS PW Equity","DS192")</f>
        <v>CYFRPLSAT</v>
      </c>
      <c r="C115">
        <f>_xll.BDP("CPS PW Equity","RR910","DS215=USD","DY339=UNIT")</f>
        <v>2044636171.7188065</v>
      </c>
      <c r="D115" t="str">
        <f>_xll.BDP("CPS PW Equity","DX129")</f>
        <v>PL</v>
      </c>
      <c r="F115">
        <f>_xll.BDP("CPS PW Equity","ST058")</f>
        <v>80</v>
      </c>
      <c r="G115">
        <f>_xll.BDP("CPS PW Equity","SR468")</f>
        <v>84.7</v>
      </c>
      <c r="I115">
        <f>_xll.BDP("CPS PW Equity","SR001")</f>
        <v>4.7800002098083496</v>
      </c>
      <c r="J115">
        <f>_xll.BDP("CPS PW Equity","SR002")</f>
        <v>5.7849268913269043</v>
      </c>
      <c r="K115">
        <f>_xll.BDP("CPS PW Equity","SR267")</f>
        <v>0.73529410362243652</v>
      </c>
      <c r="L115" t="s">
        <v>40</v>
      </c>
      <c r="N115">
        <f>_xll.BDP("CPS PW Equity","SR238")</f>
        <v>3</v>
      </c>
      <c r="O115">
        <f>_xll.BDP("CPS PW Equity","SR205")</f>
        <v>8.0615625381469727</v>
      </c>
      <c r="P115">
        <f>_xll.BDP("CPS PW Equity","SR211")</f>
        <v>10</v>
      </c>
      <c r="Q115">
        <f>_xll.BDP("CPS PW Equity","SR235")</f>
        <v>1.9747449159622192</v>
      </c>
      <c r="S115">
        <f>_xll.BDP("CPS PW Equity","SR259")</f>
        <v>0</v>
      </c>
      <c r="T115">
        <f>_xll.BDP("CPS PW Equity","SR263")</f>
        <v>1</v>
      </c>
      <c r="U115" t="s">
        <v>22</v>
      </c>
      <c r="V115" t="s">
        <v>31</v>
      </c>
      <c r="X115">
        <f>_xll.BDP("CPS PW Equity","SR480")</f>
        <v>10</v>
      </c>
      <c r="Y115">
        <f>_xll.BDP("CPS PW Equity","SR477")</f>
        <v>7.2538800239562988</v>
      </c>
    </row>
    <row r="116" spans="1:25" x14ac:dyDescent="0.25">
      <c r="A116" t="s">
        <v>152</v>
      </c>
      <c r="B116" t="str">
        <f>_xll.BDP("9436 JP Equity","DS192")</f>
        <v>OKINAWA CELLULAR</v>
      </c>
      <c r="C116">
        <f>_xll.BDP("9436 JP Equity","RR910","DS215=USD","DY339=UNIT")</f>
        <v>2013400554.6516867</v>
      </c>
      <c r="D116" t="str">
        <f>_xll.BDP("9436 JP Equity","DX129")</f>
        <v>JP</v>
      </c>
      <c r="F116">
        <f>_xll.BDP("9436 JP Equity","ST058")</f>
        <v>27.4</v>
      </c>
      <c r="G116">
        <f>_xll.BDP("9436 JP Equity","SR468")</f>
        <v>44.1</v>
      </c>
      <c r="I116">
        <f>_xll.BDP("9436 JP Equity","SR001")</f>
        <v>2.7899999618530273</v>
      </c>
      <c r="J116">
        <f>_xll.BDP("9436 JP Equity","SR002")</f>
        <v>2.8461337089538574</v>
      </c>
      <c r="K116">
        <f>_xll.BDP("9436 JP Equity","SR267")</f>
        <v>0.44117647409439087</v>
      </c>
      <c r="L116" t="s">
        <v>26</v>
      </c>
      <c r="N116">
        <f>_xll.BDP("9436 JP Equity","SR238")</f>
        <v>0</v>
      </c>
      <c r="O116">
        <f>_xll.BDP("9436 JP Equity","SR205")</f>
        <v>7.2129740715026855</v>
      </c>
      <c r="P116">
        <f>_xll.BDP("9436 JP Equity","SR211")</f>
        <v>0</v>
      </c>
      <c r="Q116">
        <f>_xll.BDP("9436 JP Equity","SR235")</f>
        <v>0</v>
      </c>
      <c r="S116">
        <f>_xll.BDP("9436 JP Equity","SR259")</f>
        <v>0</v>
      </c>
      <c r="T116">
        <f>_xll.BDP("9436 JP Equity","SR263")</f>
        <v>0.60000002384185791</v>
      </c>
      <c r="U116" t="s">
        <v>22</v>
      </c>
      <c r="V116" t="s">
        <v>27</v>
      </c>
      <c r="X116">
        <f>_xll.BDP("9436 JP Equity","SR480")</f>
        <v>0</v>
      </c>
      <c r="Y116">
        <f>_xll.BDP("9436 JP Equity","SR477")</f>
        <v>8.2409029006958008</v>
      </c>
    </row>
    <row r="117" spans="1:25" x14ac:dyDescent="0.25">
      <c r="A117" t="s">
        <v>153</v>
      </c>
      <c r="B117" t="str">
        <f>_xll.BDP("000156 CH Equity","DS192")</f>
        <v>WASU MEDIA HOL-A</v>
      </c>
      <c r="C117">
        <f>_xll.BDP("000156 CH Equity","RR910","DS215=USD","DY339=UNIT")</f>
        <v>2012200033.8058038</v>
      </c>
      <c r="D117" t="str">
        <f>_xll.BDP("000156 CH Equity","DX129")</f>
        <v>CN</v>
      </c>
      <c r="F117">
        <f>_xll.BDP("000156 CH Equity","ST058")</f>
        <v>44.7</v>
      </c>
      <c r="G117">
        <f>_xll.BDP("000156 CH Equity","SR468")</f>
        <v>27.6</v>
      </c>
      <c r="I117">
        <f>_xll.BDP("000156 CH Equity","SR001")</f>
        <v>3.4700000286102295</v>
      </c>
      <c r="J117">
        <f>_xll.BDP("000156 CH Equity","SR002")</f>
        <v>2.1978116035461426</v>
      </c>
      <c r="K117">
        <f>_xll.BDP("000156 CH Equity","SR267")</f>
        <v>0.44117647409439087</v>
      </c>
      <c r="L117" t="s">
        <v>26</v>
      </c>
      <c r="N117">
        <f>_xll.BDP("000156 CH Equity","SR238")</f>
        <v>0</v>
      </c>
      <c r="O117">
        <f>_xll.BDP("000156 CH Equity","SR205")</f>
        <v>3.8404974937438965</v>
      </c>
      <c r="P117">
        <f>_xll.BDP("000156 CH Equity","SR211")</f>
        <v>10</v>
      </c>
      <c r="Q117">
        <f>_xll.BDP("000156 CH Equity","SR235")</f>
        <v>0</v>
      </c>
      <c r="S117">
        <f>_xll.BDP("000156 CH Equity","SR259")</f>
        <v>0</v>
      </c>
      <c r="T117">
        <f>_xll.BDP("000156 CH Equity","SR263")</f>
        <v>0.60000002384185791</v>
      </c>
      <c r="U117" t="s">
        <v>22</v>
      </c>
      <c r="V117" t="s">
        <v>27</v>
      </c>
      <c r="X117">
        <f>_xll.BDP("000156 CH Equity","SR480")</f>
        <v>0</v>
      </c>
      <c r="Y117">
        <f>_xll.BDP("000156 CH Equity","SR477")</f>
        <v>3.3340034484863281</v>
      </c>
    </row>
    <row r="118" spans="1:25" x14ac:dyDescent="0.25">
      <c r="A118" t="s">
        <v>154</v>
      </c>
      <c r="B118" t="str">
        <f>_xll.BDP("CEL IT Equity","DS192")</f>
        <v>CELLCOM ISRAEL</v>
      </c>
      <c r="C118">
        <f>_xll.BDP("CEL IT Equity","RR910","DS215=USD","DY339=UNIT")</f>
        <v>1923002231.9639373</v>
      </c>
      <c r="D118" t="str">
        <f>_xll.BDP("CEL IT Equity","DX129")</f>
        <v>IL</v>
      </c>
      <c r="F118">
        <f>_xll.BDP("CEL IT Equity","ST058")</f>
        <v>5.3</v>
      </c>
      <c r="G118">
        <f>_xll.BDP("CEL IT Equity","SR468")</f>
        <v>4.4000000000000004</v>
      </c>
      <c r="I118">
        <f>_xll.BDP("CEL IT Equity","SR001")</f>
        <v>1.2599999904632568</v>
      </c>
      <c r="J118">
        <f>_xll.BDP("CEL IT Equity","SR002")</f>
        <v>0.10578136146068573</v>
      </c>
      <c r="K118">
        <f>_xll.BDP("CEL IT Equity","SR267")</f>
        <v>0</v>
      </c>
      <c r="L118" t="s">
        <v>22</v>
      </c>
      <c r="N118">
        <f>_xll.BDP("CEL IT Equity","SR238")</f>
        <v>0</v>
      </c>
      <c r="O118">
        <f>_xll.BDP("CEL IT Equity","SR205")</f>
        <v>0</v>
      </c>
      <c r="P118">
        <f>_xll.BDP("CEL IT Equity","SR211")</f>
        <v>0</v>
      </c>
      <c r="Q118">
        <f>_xll.BDP("CEL IT Equity","SR235")</f>
        <v>3.6583123207092285</v>
      </c>
      <c r="S118">
        <f>_xll.BDP("CEL IT Equity","SR259")</f>
        <v>0</v>
      </c>
      <c r="T118">
        <f>_xll.BDP("CEL IT Equity","SR263")</f>
        <v>0</v>
      </c>
      <c r="U118" t="s">
        <v>22</v>
      </c>
      <c r="V118" t="s">
        <v>22</v>
      </c>
      <c r="X118">
        <f>_xll.BDP("CEL IT Equity","SR480")</f>
        <v>0</v>
      </c>
      <c r="Y118">
        <f>_xll.BDP("CEL IT Equity","SR477")</f>
        <v>0</v>
      </c>
    </row>
    <row r="119" spans="1:25" x14ac:dyDescent="0.25">
      <c r="A119" t="s">
        <v>155</v>
      </c>
      <c r="B119" t="str">
        <f>_xll.BDP("DIGI RO Equity","DS192")</f>
        <v>DIGI COMMUNICATI</v>
      </c>
      <c r="C119">
        <f>_xll.BDP("DIGI RO Equity","RR910","DS215=USD","DY339=UNIT")</f>
        <v>1911268941.8529363</v>
      </c>
      <c r="D119" t="str">
        <f>_xll.BDP("DIGI RO Equity","DX129")</f>
        <v>RO</v>
      </c>
      <c r="F119">
        <f>_xll.BDP("DIGI RO Equity","ST058")</f>
        <v>45.6</v>
      </c>
      <c r="G119">
        <f>_xll.BDP("DIGI RO Equity","SR468")</f>
        <v>46.5</v>
      </c>
      <c r="I119">
        <f>_xll.BDP("DIGI RO Equity","SR001")</f>
        <v>3.4900000095367432</v>
      </c>
      <c r="J119">
        <f>_xll.BDP("DIGI RO Equity","SR002")</f>
        <v>2.9211063385009766</v>
      </c>
      <c r="K119">
        <f>_xll.BDP("DIGI RO Equity","SR267")</f>
        <v>0.58823531866073608</v>
      </c>
      <c r="L119" t="s">
        <v>43</v>
      </c>
      <c r="N119">
        <f>_xll.BDP("DIGI RO Equity","SR238")</f>
        <v>0</v>
      </c>
      <c r="O119">
        <f>_xll.BDP("DIGI RO Equity","SR205")</f>
        <v>5.3004922866821289</v>
      </c>
      <c r="P119">
        <f>_xll.BDP("DIGI RO Equity","SR211")</f>
        <v>10</v>
      </c>
      <c r="Q119">
        <f>_xll.BDP("DIGI RO Equity","SR235")</f>
        <v>1.9747449159622192</v>
      </c>
      <c r="S119">
        <f>_xll.BDP("DIGI RO Equity","SR259")</f>
        <v>0</v>
      </c>
      <c r="T119">
        <f>_xll.BDP("DIGI RO Equity","SR263")</f>
        <v>0.80000001192092896</v>
      </c>
      <c r="U119" t="s">
        <v>22</v>
      </c>
      <c r="V119" t="s">
        <v>44</v>
      </c>
      <c r="X119">
        <f>_xll.BDP("DIGI RO Equity","SR480")</f>
        <v>0</v>
      </c>
      <c r="Y119">
        <f>_xll.BDP("DIGI RO Equity","SR477")</f>
        <v>4.3620738983154297</v>
      </c>
    </row>
    <row r="120" spans="1:25" x14ac:dyDescent="0.25">
      <c r="A120" t="s">
        <v>156</v>
      </c>
      <c r="B120" t="str">
        <f>_xll.BDP("CCA CN Equity","DS192")</f>
        <v>COGECO COMMUNICA</v>
      </c>
      <c r="C120">
        <f>_xll.BDP("CCA CN Equity","RR910","DS215=USD","DY339=UNIT")</f>
        <v>1873435120.8168547</v>
      </c>
      <c r="D120" t="str">
        <f>_xll.BDP("CCA CN Equity","DX129")</f>
        <v>CA</v>
      </c>
      <c r="F120">
        <f>_xll.BDP("CCA CN Equity","ST058")</f>
        <v>74.400000000000006</v>
      </c>
      <c r="G120">
        <f>_xll.BDP("CCA CN Equity","SR468")</f>
        <v>57.6</v>
      </c>
      <c r="I120">
        <f>_xll.BDP("CCA CN Equity","SR001")</f>
        <v>4.570000171661377</v>
      </c>
      <c r="J120">
        <f>_xll.BDP("CCA CN Equity","SR002")</f>
        <v>3.5827066898345947</v>
      </c>
      <c r="K120">
        <f>_xll.BDP("CCA CN Equity","SR267")</f>
        <v>0.73529410362243652</v>
      </c>
      <c r="L120" t="s">
        <v>40</v>
      </c>
      <c r="N120">
        <f>_xll.BDP("CCA CN Equity","SR238")</f>
        <v>0</v>
      </c>
      <c r="O120">
        <f>_xll.BDP("CCA CN Equity","SR205")</f>
        <v>6.9622058868408203</v>
      </c>
      <c r="P120">
        <f>_xll.BDP("CCA CN Equity","SR211")</f>
        <v>10</v>
      </c>
      <c r="Q120">
        <f>_xll.BDP("CCA CN Equity","SR235")</f>
        <v>1.9747449159622192</v>
      </c>
      <c r="S120">
        <f>_xll.BDP("CCA CN Equity","SR259")</f>
        <v>0</v>
      </c>
      <c r="T120">
        <f>_xll.BDP("CCA CN Equity","SR263")</f>
        <v>1</v>
      </c>
      <c r="U120" t="s">
        <v>22</v>
      </c>
      <c r="V120" t="s">
        <v>31</v>
      </c>
      <c r="X120">
        <f>_xll.BDP("CCA CN Equity","SR480")</f>
        <v>0</v>
      </c>
      <c r="Y120">
        <f>_xll.BDP("CCA CN Equity","SR477")</f>
        <v>5.6964583396911621</v>
      </c>
    </row>
    <row r="121" spans="1:25" x14ac:dyDescent="0.25">
      <c r="A121" t="s">
        <v>157</v>
      </c>
      <c r="B121" t="str">
        <f>_xll.BDP("TKG SJ Equity","DS192")</f>
        <v>TELKOM SA SOC LT</v>
      </c>
      <c r="C121">
        <f>_xll.BDP("TKG SJ Equity","RR910","DS215=USD","DY339=UNIT")</f>
        <v>1830871783.0758672</v>
      </c>
      <c r="D121" t="str">
        <f>_xll.BDP("TKG SJ Equity","DX129")</f>
        <v>ZA</v>
      </c>
      <c r="F121">
        <f>_xll.BDP("TKG SJ Equity","ST058")</f>
        <v>46.5</v>
      </c>
      <c r="G121">
        <f>_xll.BDP("TKG SJ Equity","SR468")</f>
        <v>18.8</v>
      </c>
      <c r="I121">
        <f>_xll.BDP("TKG SJ Equity","SR001")</f>
        <v>3.5299999713897705</v>
      </c>
      <c r="J121">
        <f>_xll.BDP("TKG SJ Equity","SR002")</f>
        <v>1.4339421987533569</v>
      </c>
      <c r="K121">
        <f>_xll.BDP("TKG SJ Equity","SR267")</f>
        <v>0.73529410362243652</v>
      </c>
      <c r="L121" t="s">
        <v>40</v>
      </c>
      <c r="N121">
        <f>_xll.BDP("TKG SJ Equity","SR238")</f>
        <v>0</v>
      </c>
      <c r="O121">
        <f>_xll.BDP("TKG SJ Equity","SR205")</f>
        <v>1.7461826801300049</v>
      </c>
      <c r="P121">
        <f>_xll.BDP("TKG SJ Equity","SR211")</f>
        <v>10</v>
      </c>
      <c r="Q121">
        <f>_xll.BDP("TKG SJ Equity","SR235")</f>
        <v>3.6583123207092285</v>
      </c>
      <c r="S121">
        <f>_xll.BDP("TKG SJ Equity","SR259")</f>
        <v>0</v>
      </c>
      <c r="T121">
        <f>_xll.BDP("TKG SJ Equity","SR263")</f>
        <v>1</v>
      </c>
      <c r="U121" t="s">
        <v>22</v>
      </c>
      <c r="V121" t="s">
        <v>31</v>
      </c>
      <c r="X121">
        <f>_xll.BDP("TKG SJ Equity","SR480")</f>
        <v>0</v>
      </c>
      <c r="Y121">
        <f>_xll.BDP("TKG SJ Equity","SR477")</f>
        <v>0.65481853485107422</v>
      </c>
    </row>
    <row r="122" spans="1:25" x14ac:dyDescent="0.25">
      <c r="A122" t="s">
        <v>158</v>
      </c>
      <c r="B122" t="str">
        <f>_xll.BDP("LILA US Equity","DS192")</f>
        <v>LIBERTY LATI-A</v>
      </c>
      <c r="C122">
        <f>_xll.BDP("LILA US Equity","RR910","DS215=USD","DY339=UNIT")</f>
        <v>1655697000</v>
      </c>
      <c r="D122" t="str">
        <f>_xll.BDP("LILA US Equity","DX129")</f>
        <v>PR</v>
      </c>
      <c r="F122">
        <f>_xll.BDP("LILA US Equity","ST058")</f>
        <v>42.9</v>
      </c>
      <c r="G122">
        <f>_xll.BDP("LILA US Equity","SR468")</f>
        <v>48.2</v>
      </c>
      <c r="I122">
        <f>_xll.BDP("LILA US Equity","SR001")</f>
        <v>3.3900001049041748</v>
      </c>
      <c r="J122">
        <f>_xll.BDP("LILA US Equity","SR002")</f>
        <v>2.964097261428833</v>
      </c>
      <c r="K122">
        <f>_xll.BDP("LILA US Equity","SR267")</f>
        <v>0.73529410362243652</v>
      </c>
      <c r="L122" t="s">
        <v>40</v>
      </c>
      <c r="N122">
        <f>_xll.BDP("LILA US Equity","SR238")</f>
        <v>0</v>
      </c>
      <c r="O122">
        <f>_xll.BDP("LILA US Equity","SR205")</f>
        <v>4.9097647666931152</v>
      </c>
      <c r="P122">
        <f>_xll.BDP("LILA US Equity","SR211")</f>
        <v>10</v>
      </c>
      <c r="Q122">
        <f>_xll.BDP("LILA US Equity","SR235")</f>
        <v>7.3120193481445313</v>
      </c>
      <c r="S122">
        <f>_xll.BDP("LILA US Equity","SR259")</f>
        <v>0</v>
      </c>
      <c r="T122">
        <f>_xll.BDP("LILA US Equity","SR263")</f>
        <v>1</v>
      </c>
      <c r="U122" t="s">
        <v>22</v>
      </c>
      <c r="V122" t="s">
        <v>31</v>
      </c>
      <c r="X122">
        <f>_xll.BDP("LILA US Equity","SR480")</f>
        <v>0</v>
      </c>
      <c r="Y122">
        <f>_xll.BDP("LILA US Equity","SR477")</f>
        <v>2.7888331413269043</v>
      </c>
    </row>
    <row r="123" spans="1:25" x14ac:dyDescent="0.25">
      <c r="A123" t="s">
        <v>159</v>
      </c>
      <c r="B123" t="str">
        <f>_xll.BDP("OBEL BB Equity","DS192")</f>
        <v>ORANGE BELGIUM</v>
      </c>
      <c r="C123">
        <f>_xll.BDP("OBEL BB Equity","RR910","DS215=USD","DY339=UNIT")</f>
        <v>1630842057.3208351</v>
      </c>
      <c r="D123" t="str">
        <f>_xll.BDP("OBEL BB Equity","DX129")</f>
        <v>BE</v>
      </c>
      <c r="F123">
        <f>_xll.BDP("OBEL BB Equity","ST058")</f>
        <v>35.299999999999997</v>
      </c>
      <c r="G123">
        <f>_xll.BDP("OBEL BB Equity","SR468")</f>
        <v>68.2</v>
      </c>
      <c r="I123">
        <f>_xll.BDP("OBEL BB Equity","SR001")</f>
        <v>3.0999999046325684</v>
      </c>
      <c r="J123">
        <f>_xll.BDP("OBEL BB Equity","SR002")</f>
        <v>4.2988805770874023</v>
      </c>
      <c r="K123">
        <f>_xll.BDP("OBEL BB Equity","SR267")</f>
        <v>0.58823531866073608</v>
      </c>
      <c r="L123" t="s">
        <v>43</v>
      </c>
      <c r="N123">
        <f>_xll.BDP("OBEL BB Equity","SR238")</f>
        <v>0</v>
      </c>
      <c r="O123">
        <f>_xll.BDP("OBEL BB Equity","SR205")</f>
        <v>8.2086763381958008</v>
      </c>
      <c r="P123">
        <f>_xll.BDP("OBEL BB Equity","SR211")</f>
        <v>10</v>
      </c>
      <c r="Q123">
        <f>_xll.BDP("OBEL BB Equity","SR235")</f>
        <v>7.3120193481445313</v>
      </c>
      <c r="S123">
        <f>_xll.BDP("OBEL BB Equity","SR259")</f>
        <v>0</v>
      </c>
      <c r="T123">
        <f>_xll.BDP("OBEL BB Equity","SR263")</f>
        <v>0.80000001192092896</v>
      </c>
      <c r="U123" t="s">
        <v>22</v>
      </c>
      <c r="V123" t="s">
        <v>44</v>
      </c>
      <c r="X123">
        <f>_xll.BDP("OBEL BB Equity","SR480")</f>
        <v>0</v>
      </c>
      <c r="Y123">
        <f>_xll.BDP("OBEL BB Equity","SR477")</f>
        <v>8.5020732879638672</v>
      </c>
    </row>
    <row r="124" spans="1:25" x14ac:dyDescent="0.25">
      <c r="A124" t="s">
        <v>160</v>
      </c>
      <c r="B124" t="str">
        <f>_xll.BDP("1310 HK Equity","DS192")</f>
        <v>HKBN LTD</v>
      </c>
      <c r="C124">
        <f>_xll.BDP("1310 HK Equity","RR910","DS215=USD","DY339=UNIT")</f>
        <v>1555885036.6797347</v>
      </c>
      <c r="D124" t="str">
        <f>_xll.BDP("1310 HK Equity","DX129")</f>
        <v>HK</v>
      </c>
      <c r="F124">
        <f>_xll.BDP("1310 HK Equity","ST058")</f>
        <v>72.400000000000006</v>
      </c>
      <c r="G124">
        <f>_xll.BDP("1310 HK Equity","SR468")</f>
        <v>40.6</v>
      </c>
      <c r="I124">
        <f>_xll.BDP("1310 HK Equity","SR001")</f>
        <v>4.4099998474121094</v>
      </c>
      <c r="J124">
        <f>_xll.BDP("1310 HK Equity","SR002")</f>
        <v>2.7513816356658936</v>
      </c>
      <c r="K124">
        <f>_xll.BDP("1310 HK Equity","SR267")</f>
        <v>0.58823531866073608</v>
      </c>
      <c r="L124" t="s">
        <v>43</v>
      </c>
      <c r="N124">
        <f>_xll.BDP("1310 HK Equity","SR238")</f>
        <v>0</v>
      </c>
      <c r="O124">
        <f>_xll.BDP("1310 HK Equity","SR205")</f>
        <v>4.2368025779724121</v>
      </c>
      <c r="P124">
        <f>_xll.BDP("1310 HK Equity","SR211")</f>
        <v>10</v>
      </c>
      <c r="Q124">
        <f>_xll.BDP("1310 HK Equity","SR235")</f>
        <v>10</v>
      </c>
      <c r="S124">
        <f>_xll.BDP("1310 HK Equity","SR259")</f>
        <v>0</v>
      </c>
      <c r="T124">
        <f>_xll.BDP("1310 HK Equity","SR263")</f>
        <v>0.80000001192092896</v>
      </c>
      <c r="U124" t="s">
        <v>22</v>
      </c>
      <c r="V124" t="s">
        <v>44</v>
      </c>
      <c r="X124">
        <f>_xll.BDP("1310 HK Equity","SR480")</f>
        <v>0</v>
      </c>
      <c r="Y124">
        <f>_xll.BDP("1310 HK Equity","SR477")</f>
        <v>2.8478388786315918</v>
      </c>
    </row>
    <row r="125" spans="1:25" x14ac:dyDescent="0.25">
      <c r="A125" t="s">
        <v>161</v>
      </c>
      <c r="B125" t="str">
        <f>_xll.BDP("TLEVICPO MM Equity","DS192")</f>
        <v>GRUPO TELEV-CPO</v>
      </c>
      <c r="C125">
        <f>_xll.BDP("TLEVICPO MM Equity","RR910","DS215=USD","DY339=UNIT")</f>
        <v>1508590276.0350986</v>
      </c>
      <c r="D125" t="str">
        <f>_xll.BDP("TLEVICPO MM Equity","DX129")</f>
        <v>MX</v>
      </c>
      <c r="F125">
        <f>_xll.BDP("TLEVICPO MM Equity","ST058")</f>
        <v>37.1</v>
      </c>
      <c r="G125">
        <f>_xll.BDP("TLEVICPO MM Equity","SR468")</f>
        <v>24.7</v>
      </c>
      <c r="I125">
        <f>_xll.BDP("TLEVICPO MM Equity","SR001")</f>
        <v>3.1700000762939453</v>
      </c>
      <c r="J125">
        <f>_xll.BDP("TLEVICPO MM Equity","SR002")</f>
        <v>1.8870941400527954</v>
      </c>
      <c r="K125">
        <f>_xll.BDP("TLEVICPO MM Equity","SR267")</f>
        <v>0.58823531866073608</v>
      </c>
      <c r="L125" t="s">
        <v>43</v>
      </c>
      <c r="N125">
        <f>_xll.BDP("TLEVICPO MM Equity","SR238")</f>
        <v>0</v>
      </c>
      <c r="O125">
        <f>_xll.BDP("TLEVICPO MM Equity","SR205")</f>
        <v>3.1093535423278809</v>
      </c>
      <c r="P125">
        <f>_xll.BDP("TLEVICPO MM Equity","SR211")</f>
        <v>10</v>
      </c>
      <c r="Q125">
        <f>_xll.BDP("TLEVICPO MM Equity","SR235")</f>
        <v>0</v>
      </c>
      <c r="S125">
        <f>_xll.BDP("TLEVICPO MM Equity","SR259")</f>
        <v>0</v>
      </c>
      <c r="T125">
        <f>_xll.BDP("TLEVICPO MM Equity","SR263")</f>
        <v>0.80000001192092896</v>
      </c>
      <c r="U125" t="s">
        <v>22</v>
      </c>
      <c r="V125" t="s">
        <v>44</v>
      </c>
      <c r="X125">
        <f>_xll.BDP("TLEVICPO MM Equity","SR480")</f>
        <v>0</v>
      </c>
      <c r="Y125">
        <f>_xll.BDP("TLEVICPO MM Equity","SR477")</f>
        <v>1.4176384210586548</v>
      </c>
    </row>
    <row r="126" spans="1:25" x14ac:dyDescent="0.25">
      <c r="A126" t="s">
        <v>162</v>
      </c>
      <c r="B126" t="str">
        <f>_xll.BDP("CNVRG PM Equity","DS192")</f>
        <v>CONVERGE INFORMA</v>
      </c>
      <c r="C126">
        <f>_xll.BDP("CNVRG PM Equity","RR910","DS215=USD","DY339=UNIT")</f>
        <v>1497050081.8864524</v>
      </c>
      <c r="D126" t="str">
        <f>_xll.BDP("CNVRG PM Equity","DX129")</f>
        <v>PH</v>
      </c>
      <c r="F126">
        <f>_xll.BDP("CNVRG PM Equity","ST058")</f>
        <v>94.1</v>
      </c>
      <c r="G126">
        <f>_xll.BDP("CNVRG PM Equity","SR468")</f>
        <v>88.2</v>
      </c>
      <c r="I126">
        <f>_xll.BDP("CNVRG PM Equity","SR001")</f>
        <v>5.7100000381469727</v>
      </c>
      <c r="J126">
        <f>_xll.BDP("CNVRG PM Equity","SR002")</f>
        <v>5.9348926544189453</v>
      </c>
      <c r="K126">
        <f>_xll.BDP("CNVRG PM Equity","SR267")</f>
        <v>0.94117647409439087</v>
      </c>
      <c r="L126" t="s">
        <v>51</v>
      </c>
      <c r="N126">
        <f>_xll.BDP("CNVRG PM Equity","SR238")</f>
        <v>4.8402614593505859</v>
      </c>
      <c r="O126">
        <f>_xll.BDP("CNVRG PM Equity","SR205")</f>
        <v>6.6674079895019531</v>
      </c>
      <c r="P126">
        <f>_xll.BDP("CNVRG PM Equity","SR211")</f>
        <v>10</v>
      </c>
      <c r="Q126">
        <f>_xll.BDP("CNVRG PM Equity","SR235")</f>
        <v>1.9747449159622192</v>
      </c>
      <c r="S126">
        <f>_xll.BDP("CNVRG PM Equity","SR259")</f>
        <v>0.77777779102325439</v>
      </c>
      <c r="T126">
        <f>_xll.BDP("CNVRG PM Equity","SR263")</f>
        <v>1</v>
      </c>
      <c r="U126" t="s">
        <v>52</v>
      </c>
      <c r="V126" t="s">
        <v>31</v>
      </c>
      <c r="X126">
        <f>_xll.BDP("CNVRG PM Equity","SR480")</f>
        <v>3.8225734233856201</v>
      </c>
      <c r="Y126">
        <f>_xll.BDP("CNVRG PM Equity","SR477")</f>
        <v>5.2788276672363281</v>
      </c>
    </row>
    <row r="127" spans="1:25" x14ac:dyDescent="0.25">
      <c r="A127" t="s">
        <v>163</v>
      </c>
      <c r="B127" t="str">
        <f>_xll.BDP("TEL1L LH Equity","DS192")</f>
        <v>TELIA LIETUVA AB</v>
      </c>
      <c r="C127">
        <f>_xll.BDP("TEL1L LH Equity","RR910","DS215=USD","DY339=UNIT")</f>
        <v>1470743878.7043295</v>
      </c>
      <c r="D127" t="str">
        <f>_xll.BDP("TEL1L LH Equity","DX129")</f>
        <v>LT</v>
      </c>
      <c r="F127">
        <f>_xll.BDP("TEL1L LH Equity","ST058")</f>
        <v>54.1</v>
      </c>
      <c r="G127">
        <f>_xll.BDP("TEL1L LH Equity","SR468")</f>
        <v>61.8</v>
      </c>
      <c r="I127">
        <f>_xll.BDP("TEL1L LH Equity","SR001")</f>
        <v>3.7999999523162842</v>
      </c>
      <c r="J127">
        <f>_xll.BDP("TEL1L LH Equity","SR002")</f>
        <v>3.8475782871246338</v>
      </c>
      <c r="K127">
        <f>_xll.BDP("TEL1L LH Equity","SR267")</f>
        <v>0.58823531866073608</v>
      </c>
      <c r="L127" t="s">
        <v>43</v>
      </c>
      <c r="N127">
        <f>_xll.BDP("TEL1L LH Equity","SR238")</f>
        <v>0</v>
      </c>
      <c r="O127">
        <f>_xll.BDP("TEL1L LH Equity","SR205")</f>
        <v>8.0166425704956055</v>
      </c>
      <c r="P127">
        <f>_xll.BDP("TEL1L LH Equity","SR211")</f>
        <v>10</v>
      </c>
      <c r="Q127">
        <f>_xll.BDP("TEL1L LH Equity","SR235")</f>
        <v>0</v>
      </c>
      <c r="S127">
        <f>_xll.BDP("TEL1L LH Equity","SR259")</f>
        <v>0</v>
      </c>
      <c r="T127">
        <f>_xll.BDP("TEL1L LH Equity","SR263")</f>
        <v>0.80000001192092896</v>
      </c>
      <c r="U127" t="s">
        <v>22</v>
      </c>
      <c r="V127" t="s">
        <v>44</v>
      </c>
      <c r="X127">
        <f>_xll.BDP("TEL1L LH Equity","SR480")</f>
        <v>0</v>
      </c>
      <c r="Y127">
        <f>_xll.BDP("TEL1L LH Equity","SR477")</f>
        <v>8.2287006378173828</v>
      </c>
    </row>
    <row r="128" spans="1:25" x14ac:dyDescent="0.25">
      <c r="A128" t="s">
        <v>164</v>
      </c>
      <c r="B128" t="str">
        <f>_xll.BDP("STH SP Equity","DS192")</f>
        <v>STARHUB LTD</v>
      </c>
      <c r="C128">
        <f>_xll.BDP("STH SP Equity","RR910","DS215=USD","DY339=UNIT")</f>
        <v>1392909233.9458041</v>
      </c>
      <c r="D128" t="str">
        <f>_xll.BDP("STH SP Equity","DX129")</f>
        <v>SG</v>
      </c>
      <c r="F128">
        <f>_xll.BDP("STH SP Equity","ST058")</f>
        <v>95.3</v>
      </c>
      <c r="G128">
        <f>_xll.BDP("STH SP Equity","SR468")</f>
        <v>78.8</v>
      </c>
      <c r="I128">
        <f>_xll.BDP("STH SP Equity","SR001")</f>
        <v>5.75</v>
      </c>
      <c r="J128">
        <f>_xll.BDP("STH SP Equity","SR002")</f>
        <v>4.9201531410217285</v>
      </c>
      <c r="K128">
        <f>_xll.BDP("STH SP Equity","SR267")</f>
        <v>0.73529410362243652</v>
      </c>
      <c r="L128" t="s">
        <v>40</v>
      </c>
      <c r="N128">
        <f>_xll.BDP("STH SP Equity","SR238")</f>
        <v>3</v>
      </c>
      <c r="O128">
        <f>_xll.BDP("STH SP Equity","SR205")</f>
        <v>5.9672718048095703</v>
      </c>
      <c r="P128">
        <f>_xll.BDP("STH SP Equity","SR211")</f>
        <v>10</v>
      </c>
      <c r="Q128">
        <f>_xll.BDP("STH SP Equity","SR235")</f>
        <v>3.6583123207092285</v>
      </c>
      <c r="S128">
        <f>_xll.BDP("STH SP Equity","SR259")</f>
        <v>0</v>
      </c>
      <c r="T128">
        <f>_xll.BDP("STH SP Equity","SR263")</f>
        <v>1</v>
      </c>
      <c r="U128" t="s">
        <v>22</v>
      </c>
      <c r="V128" t="s">
        <v>31</v>
      </c>
      <c r="X128">
        <f>_xll.BDP("STH SP Equity","SR480")</f>
        <v>10</v>
      </c>
      <c r="Y128">
        <f>_xll.BDP("STH SP Equity","SR477")</f>
        <v>4.2869687080383301</v>
      </c>
    </row>
    <row r="129" spans="1:25" x14ac:dyDescent="0.25">
      <c r="A129" t="s">
        <v>165</v>
      </c>
      <c r="B129" t="str">
        <f>_xll.BDP("1883 HK Equity","DS192")</f>
        <v>CITIC TELECOM</v>
      </c>
      <c r="C129">
        <f>_xll.BDP("1883 HK Equity","RR910","DS215=USD","DY339=UNIT")</f>
        <v>1308854161.0299556</v>
      </c>
      <c r="D129" t="str">
        <f>_xll.BDP("1883 HK Equity","DX129")</f>
        <v>CN</v>
      </c>
      <c r="F129">
        <f>_xll.BDP("1883 HK Equity","ST058")</f>
        <v>37.6</v>
      </c>
      <c r="G129">
        <f>_xll.BDP("1883 HK Equity","SR468")</f>
        <v>55.3</v>
      </c>
      <c r="I129">
        <f>_xll.BDP("1883 HK Equity","SR001")</f>
        <v>3.190000057220459</v>
      </c>
      <c r="J129">
        <f>_xll.BDP("1883 HK Equity","SR002")</f>
        <v>3.3685286045074463</v>
      </c>
      <c r="K129">
        <f>_xll.BDP("1883 HK Equity","SR267")</f>
        <v>0.44117647409439087</v>
      </c>
      <c r="L129" t="s">
        <v>26</v>
      </c>
      <c r="N129">
        <f>_xll.BDP("1883 HK Equity","SR238")</f>
        <v>0</v>
      </c>
      <c r="O129">
        <f>_xll.BDP("1883 HK Equity","SR205")</f>
        <v>6.4172706604003906</v>
      </c>
      <c r="P129">
        <f>_xll.BDP("1883 HK Equity","SR211")</f>
        <v>10</v>
      </c>
      <c r="Q129">
        <f>_xll.BDP("1883 HK Equity","SR235")</f>
        <v>1.9747449159622192</v>
      </c>
      <c r="S129">
        <f>_xll.BDP("1883 HK Equity","SR259")</f>
        <v>0</v>
      </c>
      <c r="T129">
        <f>_xll.BDP("1883 HK Equity","SR263")</f>
        <v>0.60000002384185791</v>
      </c>
      <c r="U129" t="s">
        <v>22</v>
      </c>
      <c r="V129" t="s">
        <v>27</v>
      </c>
      <c r="X129">
        <f>_xll.BDP("1883 HK Equity","SR480")</f>
        <v>0</v>
      </c>
      <c r="Y129">
        <f>_xll.BDP("1883 HK Equity","SR477")</f>
        <v>7.0831665992736816</v>
      </c>
    </row>
    <row r="130" spans="1:25" x14ac:dyDescent="0.25">
      <c r="A130" t="s">
        <v>166</v>
      </c>
      <c r="B130" t="str">
        <f>_xll.BDP("ENTEL CI Equity","DS192")</f>
        <v>ENTEL</v>
      </c>
      <c r="C130">
        <f>_xll.BDP("ENTEL CI Equity","RR910","DS215=USD","DY339=UNIT")</f>
        <v>1281809568.1108549</v>
      </c>
      <c r="D130" t="str">
        <f>_xll.BDP("ENTEL CI Equity","DX129")</f>
        <v>CL</v>
      </c>
      <c r="F130">
        <f>_xll.BDP("ENTEL CI Equity","ST058")</f>
        <v>23.5</v>
      </c>
      <c r="G130">
        <f>_xll.BDP("ENTEL CI Equity","SR468")</f>
        <v>39.4</v>
      </c>
      <c r="I130">
        <f>_xll.BDP("ENTEL CI Equity","SR001")</f>
        <v>2.6500000953674316</v>
      </c>
      <c r="J130">
        <f>_xll.BDP("ENTEL CI Equity","SR002")</f>
        <v>2.6500437259674072</v>
      </c>
      <c r="K130">
        <f>_xll.BDP("ENTEL CI Equity","SR267")</f>
        <v>0.73529410362243652</v>
      </c>
      <c r="L130" t="s">
        <v>40</v>
      </c>
      <c r="N130">
        <f>_xll.BDP("ENTEL CI Equity","SR238")</f>
        <v>0</v>
      </c>
      <c r="O130">
        <f>_xll.BDP("ENTEL CI Equity","SR205")</f>
        <v>4.4632868766784668</v>
      </c>
      <c r="P130">
        <f>_xll.BDP("ENTEL CI Equity","SR211")</f>
        <v>10</v>
      </c>
      <c r="Q130">
        <f>_xll.BDP("ENTEL CI Equity","SR235")</f>
        <v>3.6583123207092285</v>
      </c>
      <c r="S130">
        <f>_xll.BDP("ENTEL CI Equity","SR259")</f>
        <v>0</v>
      </c>
      <c r="T130">
        <f>_xll.BDP("ENTEL CI Equity","SR263")</f>
        <v>1</v>
      </c>
      <c r="U130" t="s">
        <v>22</v>
      </c>
      <c r="V130" t="s">
        <v>31</v>
      </c>
      <c r="X130">
        <f>_xll.BDP("ENTEL CI Equity","SR480")</f>
        <v>0</v>
      </c>
      <c r="Y130">
        <f>_xll.BDP("ENTEL CI Equity","SR477")</f>
        <v>2.1563229560852051</v>
      </c>
    </row>
    <row r="131" spans="1:25" x14ac:dyDescent="0.25">
      <c r="A131" t="s">
        <v>167</v>
      </c>
      <c r="B131" t="str">
        <f>_xll.BDP("IDT US Equity","DS192")</f>
        <v>IDT CORP-CLASS B</v>
      </c>
      <c r="C131">
        <f>_xll.BDP("IDT US Equity","RR910","DS215=USD","DY339=UNIT")</f>
        <v>1245536344.0999999</v>
      </c>
      <c r="D131" t="str">
        <f>_xll.BDP("IDT US Equity","DX129")</f>
        <v>US</v>
      </c>
      <c r="F131">
        <f>_xll.BDP("IDT US Equity","ST058")</f>
        <v>9.4</v>
      </c>
      <c r="G131">
        <f>_xll.BDP("IDT US Equity","SR468")</f>
        <v>4.4000000000000004</v>
      </c>
      <c r="I131">
        <f>_xll.BDP("IDT US Equity","SR001")</f>
        <v>1.3999999761581421</v>
      </c>
      <c r="J131">
        <f>_xll.BDP("IDT US Equity","SR002")</f>
        <v>0.10578136146068573</v>
      </c>
      <c r="K131">
        <f>_xll.BDP("IDT US Equity","SR267")</f>
        <v>0</v>
      </c>
      <c r="L131" t="s">
        <v>22</v>
      </c>
      <c r="N131">
        <f>_xll.BDP("IDT US Equity","SR238")</f>
        <v>0</v>
      </c>
      <c r="O131">
        <f>_xll.BDP("IDT US Equity","SR205")</f>
        <v>0</v>
      </c>
      <c r="P131">
        <f>_xll.BDP("IDT US Equity","SR211")</f>
        <v>0</v>
      </c>
      <c r="Q131">
        <f>_xll.BDP("IDT US Equity","SR235")</f>
        <v>3.6583123207092285</v>
      </c>
      <c r="S131">
        <f>_xll.BDP("IDT US Equity","SR259")</f>
        <v>0</v>
      </c>
      <c r="T131">
        <f>_xll.BDP("IDT US Equity","SR263")</f>
        <v>0</v>
      </c>
      <c r="U131" t="s">
        <v>22</v>
      </c>
      <c r="V131" t="s">
        <v>22</v>
      </c>
      <c r="X131">
        <f>_xll.BDP("IDT US Equity","SR480")</f>
        <v>0</v>
      </c>
      <c r="Y131">
        <f>_xll.BDP("IDT US Equity","SR477")</f>
        <v>0</v>
      </c>
    </row>
    <row r="132" spans="1:25" x14ac:dyDescent="0.25">
      <c r="A132" t="s">
        <v>168</v>
      </c>
      <c r="B132" t="str">
        <f>_xll.BDP("SLC AU Equity","DS192")</f>
        <v>SUPERLOOP LTD</v>
      </c>
      <c r="C132">
        <f>_xll.BDP("SLC AU Equity","RR910","DS215=USD","DY339=UNIT")</f>
        <v>1166794665.3715875</v>
      </c>
      <c r="D132" t="str">
        <f>_xll.BDP("SLC AU Equity","DX129")</f>
        <v>AU</v>
      </c>
      <c r="F132">
        <f>_xll.BDP("SLC AU Equity","ST058")</f>
        <v>12.1</v>
      </c>
      <c r="G132">
        <f>_xll.BDP("SLC AU Equity","SR468")</f>
        <v>12.4</v>
      </c>
      <c r="I132">
        <f>_xll.BDP("SLC AU Equity","SR001")</f>
        <v>2.0499999523162842</v>
      </c>
      <c r="J132">
        <f>_xll.BDP("SLC AU Equity","SR002")</f>
        <v>0.49226287007331848</v>
      </c>
      <c r="K132">
        <f>_xll.BDP("SLC AU Equity","SR267")</f>
        <v>0</v>
      </c>
      <c r="L132" t="s">
        <v>22</v>
      </c>
      <c r="N132">
        <f>_xll.BDP("SLC AU Equity","SR238")</f>
        <v>0</v>
      </c>
      <c r="O132">
        <f>_xll.BDP("SLC AU Equity","SR205")</f>
        <v>0</v>
      </c>
      <c r="P132">
        <f>_xll.BDP("SLC AU Equity","SR211")</f>
        <v>10</v>
      </c>
      <c r="Q132">
        <f>_xll.BDP("SLC AU Equity","SR235")</f>
        <v>3.6583123207092285</v>
      </c>
      <c r="S132">
        <f>_xll.BDP("SLC AU Equity","SR259")</f>
        <v>0</v>
      </c>
      <c r="T132">
        <f>_xll.BDP("SLC AU Equity","SR263")</f>
        <v>0</v>
      </c>
      <c r="U132" t="s">
        <v>22</v>
      </c>
      <c r="V132" t="s">
        <v>22</v>
      </c>
      <c r="X132">
        <f>_xll.BDP("SLC AU Equity","SR480")</f>
        <v>0</v>
      </c>
      <c r="Y132">
        <f>_xll.BDP("SLC AU Equity","SR477")</f>
        <v>0</v>
      </c>
    </row>
    <row r="133" spans="1:25" x14ac:dyDescent="0.25">
      <c r="A133" t="s">
        <v>169</v>
      </c>
      <c r="B133" t="str">
        <f>_xll.BDP("290A JP Equity","DS192")</f>
        <v>SYNSPECTIVE INC</v>
      </c>
      <c r="C133">
        <f>_xll.BDP("290A JP Equity","RR910","DS215=USD","DY339=UNIT")</f>
        <v>1151695420.205009</v>
      </c>
      <c r="D133" t="str">
        <f>_xll.BDP("290A JP Equity","DX129")</f>
        <v>JP</v>
      </c>
      <c r="F133">
        <f>_xll.BDP("290A JP Equity","ST058")</f>
        <v>6.5</v>
      </c>
      <c r="G133">
        <f>_xll.BDP("290A JP Equity","SR468")</f>
        <v>4.4000000000000004</v>
      </c>
      <c r="I133">
        <f>_xll.BDP("290A JP Equity","SR001")</f>
        <v>1.2799999713897705</v>
      </c>
      <c r="J133">
        <f>_xll.BDP("290A JP Equity","SR002")</f>
        <v>0.10578136146068573</v>
      </c>
      <c r="K133">
        <f>_xll.BDP("290A JP Equity","SR267")</f>
        <v>0</v>
      </c>
      <c r="L133" t="s">
        <v>22</v>
      </c>
      <c r="N133">
        <f>_xll.BDP("290A JP Equity","SR238")</f>
        <v>0</v>
      </c>
      <c r="O133">
        <f>_xll.BDP("290A JP Equity","SR205")</f>
        <v>0</v>
      </c>
      <c r="P133">
        <f>_xll.BDP("290A JP Equity","SR211")</f>
        <v>0</v>
      </c>
      <c r="Q133">
        <f>_xll.BDP("290A JP Equity","SR235")</f>
        <v>3.6583123207092285</v>
      </c>
      <c r="S133">
        <f>_xll.BDP("290A JP Equity","SR259")</f>
        <v>0</v>
      </c>
      <c r="T133">
        <f>_xll.BDP("290A JP Equity","SR263")</f>
        <v>0</v>
      </c>
      <c r="U133" t="s">
        <v>22</v>
      </c>
      <c r="V133" t="s">
        <v>22</v>
      </c>
      <c r="X133">
        <f>_xll.BDP("290A JP Equity","SR480")</f>
        <v>0</v>
      </c>
      <c r="Y133">
        <f>_xll.BDP("290A JP Equity","SR477")</f>
        <v>0</v>
      </c>
    </row>
    <row r="134" spans="1:25" x14ac:dyDescent="0.25">
      <c r="A134" t="s">
        <v>170</v>
      </c>
      <c r="B134" t="str">
        <f>_xll.BDP("ABB AU Equity","DS192")</f>
        <v>AUSSIE BROADBAND</v>
      </c>
      <c r="C134">
        <f>_xll.BDP("ABB AU Equity","RR910","DS215=USD","DY339=UNIT")</f>
        <v>1036877740.1293976</v>
      </c>
      <c r="D134" t="str">
        <f>_xll.BDP("ABB AU Equity","DX129")</f>
        <v>AU</v>
      </c>
      <c r="F134">
        <f>_xll.BDP("ABB AU Equity","ST058")</f>
        <v>18.5</v>
      </c>
      <c r="G134">
        <f>_xll.BDP("ABB AU Equity","SR468")</f>
        <v>29.4</v>
      </c>
      <c r="I134">
        <f>_xll.BDP("ABB AU Equity","SR001")</f>
        <v>2.4700000286102295</v>
      </c>
      <c r="J134">
        <f>_xll.BDP("ABB AU Equity","SR002")</f>
        <v>2.2797472476959229</v>
      </c>
      <c r="K134">
        <f>_xll.BDP("ABB AU Equity","SR267")</f>
        <v>0.14705882966518402</v>
      </c>
      <c r="L134" t="s">
        <v>171</v>
      </c>
      <c r="N134">
        <f>_xll.BDP("ABB AU Equity","SR238")</f>
        <v>0</v>
      </c>
      <c r="O134">
        <f>_xll.BDP("ABB AU Equity","SR205")</f>
        <v>5.1219711303710938</v>
      </c>
      <c r="P134">
        <f>_xll.BDP("ABB AU Equity","SR211")</f>
        <v>0</v>
      </c>
      <c r="Q134">
        <f>_xll.BDP("ABB AU Equity","SR235")</f>
        <v>3.6583123207092285</v>
      </c>
      <c r="S134">
        <f>_xll.BDP("ABB AU Equity","SR259")</f>
        <v>0</v>
      </c>
      <c r="T134">
        <f>_xll.BDP("ABB AU Equity","SR263")</f>
        <v>0.20000000298023224</v>
      </c>
      <c r="U134" t="s">
        <v>22</v>
      </c>
      <c r="V134" t="s">
        <v>172</v>
      </c>
      <c r="X134">
        <f>_xll.BDP("ABB AU Equity","SR480")</f>
        <v>0</v>
      </c>
      <c r="Y134">
        <f>_xll.BDP("ABB AU Equity","SR477")</f>
        <v>8.276249885559082</v>
      </c>
    </row>
    <row r="135" spans="1:25" x14ac:dyDescent="0.25">
      <c r="A135" t="s">
        <v>173</v>
      </c>
      <c r="B135" t="str">
        <f>_xll.BDP("CCOI US Equity","DS192")</f>
        <v>COGENT COMMUNICA</v>
      </c>
      <c r="C135">
        <f>_xll.BDP("CCOI US Equity","RR910","DS215=USD","DY339=UNIT")</f>
        <v>1017579012.8399997</v>
      </c>
      <c r="D135" t="str">
        <f>_xll.BDP("CCOI US Equity","DX129")</f>
        <v>US</v>
      </c>
      <c r="F135">
        <f>_xll.BDP("CCOI US Equity","ST058")</f>
        <v>12.1</v>
      </c>
      <c r="G135">
        <f>_xll.BDP("CCOI US Equity","SR468")</f>
        <v>8.1999999999999993</v>
      </c>
      <c r="I135">
        <f>_xll.BDP("CCOI US Equity","SR001")</f>
        <v>2.0499999523162842</v>
      </c>
      <c r="J135">
        <f>_xll.BDP("CCOI US Equity","SR002")</f>
        <v>0.17467197775840759</v>
      </c>
      <c r="K135">
        <f>_xll.BDP("CCOI US Equity","SR267")</f>
        <v>0</v>
      </c>
      <c r="L135" t="s">
        <v>22</v>
      </c>
      <c r="N135">
        <f>_xll.BDP("CCOI US Equity","SR238")</f>
        <v>0</v>
      </c>
      <c r="O135">
        <f>_xll.BDP("CCOI US Equity","SR205")</f>
        <v>0</v>
      </c>
      <c r="P135">
        <f>_xll.BDP("CCOI US Equity","SR211")</f>
        <v>0</v>
      </c>
      <c r="Q135">
        <f>_xll.BDP("CCOI US Equity","SR235")</f>
        <v>7.3120193481445313</v>
      </c>
      <c r="S135">
        <f>_xll.BDP("CCOI US Equity","SR259")</f>
        <v>0</v>
      </c>
      <c r="T135">
        <f>_xll.BDP("CCOI US Equity","SR263")</f>
        <v>0</v>
      </c>
      <c r="U135" t="s">
        <v>22</v>
      </c>
      <c r="V135" t="s">
        <v>22</v>
      </c>
      <c r="X135">
        <f>_xll.BDP("CCOI US Equity","SR480")</f>
        <v>0</v>
      </c>
      <c r="Y135">
        <f>_xll.BDP("CCOI US Equity","SR477")</f>
        <v>0</v>
      </c>
    </row>
    <row r="136" spans="1:25" x14ac:dyDescent="0.25">
      <c r="A136" t="s">
        <v>174</v>
      </c>
      <c r="B136" t="str">
        <f>_xll.BDP("JTEL JR Equity","DS192")</f>
        <v>JORDAN TELECOM</v>
      </c>
      <c r="C136">
        <f>_xll.BDP("JTEL JR Equity","RR910","DS215=USD","DY339=UNIT")</f>
        <v>989348169.23850441</v>
      </c>
      <c r="D136" t="str">
        <f>_xll.BDP("JTEL JR Equity","DX129")</f>
        <v>JO</v>
      </c>
      <c r="F136">
        <f>_xll.BDP("JTEL JR Equity","ST058")</f>
        <v>90.6</v>
      </c>
      <c r="G136">
        <f>_xll.BDP("JTEL JR Equity","SR468")</f>
        <v>94.1</v>
      </c>
      <c r="I136">
        <f>_xll.BDP("JTEL JR Equity","SR001")</f>
        <v>5.4499998092651367</v>
      </c>
      <c r="J136">
        <f>_xll.BDP("JTEL JR Equity","SR002")</f>
        <v>6.4683547019958496</v>
      </c>
      <c r="K136">
        <f>_xll.BDP("JTEL JR Equity","SR267")</f>
        <v>0.94117647409439087</v>
      </c>
      <c r="L136" t="s">
        <v>51</v>
      </c>
      <c r="N136">
        <f>_xll.BDP("JTEL JR Equity","SR238")</f>
        <v>6.1274886131286621</v>
      </c>
      <c r="O136">
        <f>_xll.BDP("JTEL JR Equity","SR205")</f>
        <v>6.7379179000854492</v>
      </c>
      <c r="P136">
        <f>_xll.BDP("JTEL JR Equity","SR211")</f>
        <v>10</v>
      </c>
      <c r="Q136">
        <f>_xll.BDP("JTEL JR Equity","SR235")</f>
        <v>1.9747449159622192</v>
      </c>
      <c r="S136">
        <f>_xll.BDP("JTEL JR Equity","SR259")</f>
        <v>0.77777779102325439</v>
      </c>
      <c r="T136">
        <f>_xll.BDP("JTEL JR Equity","SR263")</f>
        <v>1</v>
      </c>
      <c r="U136" t="s">
        <v>52</v>
      </c>
      <c r="V136" t="s">
        <v>31</v>
      </c>
      <c r="X136">
        <f>_xll.BDP("JTEL JR Equity","SR480")</f>
        <v>5.657689094543457</v>
      </c>
      <c r="Y136">
        <f>_xll.BDP("JTEL JR Equity","SR477")</f>
        <v>5.3787164688110352</v>
      </c>
    </row>
    <row r="137" spans="1:25" x14ac:dyDescent="0.25">
      <c r="A137" t="s">
        <v>175</v>
      </c>
      <c r="B137" t="str">
        <f>_xll.BDP("DIAL SL Equity","DS192")</f>
        <v>DIALOG AXIATA PL</v>
      </c>
      <c r="C137">
        <f>_xll.BDP("DIAL SL Equity","RR910","DS215=USD","DY339=UNIT")</f>
        <v>960557965.19682777</v>
      </c>
      <c r="D137" t="str">
        <f>_xll.BDP("DIAL SL Equity","DX129")</f>
        <v>LK</v>
      </c>
      <c r="F137">
        <f>_xll.BDP("DIAL SL Equity","ST058")</f>
        <v>25.3</v>
      </c>
      <c r="G137">
        <f>_xll.BDP("DIAL SL Equity","SR468")</f>
        <v>14.7</v>
      </c>
      <c r="I137">
        <f>_xll.BDP("DIAL SL Equity","SR001")</f>
        <v>2.75</v>
      </c>
      <c r="J137">
        <f>_xll.BDP("DIAL SL Equity","SR002")</f>
        <v>1.0575342178344727</v>
      </c>
      <c r="K137">
        <f>_xll.BDP("DIAL SL Equity","SR267")</f>
        <v>0.58823531866073608</v>
      </c>
      <c r="L137" t="s">
        <v>43</v>
      </c>
      <c r="N137">
        <f>_xll.BDP("DIAL SL Equity","SR238")</f>
        <v>0</v>
      </c>
      <c r="O137">
        <f>_xll.BDP("DIAL SL Equity","SR205")</f>
        <v>0.99699318408966064</v>
      </c>
      <c r="P137">
        <f>_xll.BDP("DIAL SL Equity","SR211")</f>
        <v>10</v>
      </c>
      <c r="Q137">
        <f>_xll.BDP("DIAL SL Equity","SR235")</f>
        <v>3.6583123207092285</v>
      </c>
      <c r="S137">
        <f>_xll.BDP("DIAL SL Equity","SR259")</f>
        <v>0</v>
      </c>
      <c r="T137">
        <f>_xll.BDP("DIAL SL Equity","SR263")</f>
        <v>0.80000001192092896</v>
      </c>
      <c r="U137" t="s">
        <v>22</v>
      </c>
      <c r="V137" t="s">
        <v>44</v>
      </c>
      <c r="X137">
        <f>_xll.BDP("DIAL SL Equity","SR480")</f>
        <v>0</v>
      </c>
      <c r="Y137">
        <f>_xll.BDP("DIAL SL Equity","SR477")</f>
        <v>0.4545561671257019</v>
      </c>
    </row>
    <row r="138" spans="1:25" x14ac:dyDescent="0.25">
      <c r="A138" t="s">
        <v>176</v>
      </c>
      <c r="B138" t="str">
        <f>_xll.BDP("TLSG SV Equity","DS192")</f>
        <v>TELEKOM SLOVEN</v>
      </c>
      <c r="C138">
        <f>_xll.BDP("TLSG SV Equity","RR910","DS215=USD","DY339=UNIT")</f>
        <v>893647497.13920641</v>
      </c>
      <c r="D138" t="str">
        <f>_xll.BDP("TLSG SV Equity","DX129")</f>
        <v>SI</v>
      </c>
      <c r="F138">
        <f>_xll.BDP("TLSG SV Equity","ST058")</f>
        <v>73.5</v>
      </c>
      <c r="G138">
        <f>_xll.BDP("TLSG SV Equity","SR468")</f>
        <v>45.9</v>
      </c>
      <c r="I138">
        <f>_xll.BDP("TLSG SV Equity","SR001")</f>
        <v>4.5100002288818359</v>
      </c>
      <c r="J138">
        <f>_xll.BDP("TLSG SV Equity","SR002")</f>
        <v>2.8829226493835449</v>
      </c>
      <c r="K138">
        <f>_xll.BDP("TLSG SV Equity","SR267")</f>
        <v>0.73529410362243652</v>
      </c>
      <c r="L138" t="s">
        <v>40</v>
      </c>
      <c r="N138">
        <f>_xll.BDP("TLSG SV Equity","SR238")</f>
        <v>0</v>
      </c>
      <c r="O138">
        <f>_xll.BDP("TLSG SV Equity","SR205")</f>
        <v>5.0213818550109863</v>
      </c>
      <c r="P138">
        <f>_xll.BDP("TLSG SV Equity","SR211")</f>
        <v>10</v>
      </c>
      <c r="Q138">
        <f>_xll.BDP("TLSG SV Equity","SR235")</f>
        <v>3.6583123207092285</v>
      </c>
      <c r="S138">
        <f>_xll.BDP("TLSG SV Equity","SR259")</f>
        <v>0</v>
      </c>
      <c r="T138">
        <f>_xll.BDP("TLSG SV Equity","SR263")</f>
        <v>1</v>
      </c>
      <c r="U138" t="s">
        <v>22</v>
      </c>
      <c r="V138" t="s">
        <v>31</v>
      </c>
      <c r="X138">
        <f>_xll.BDP("TLSG SV Equity","SR480")</f>
        <v>0</v>
      </c>
      <c r="Y138">
        <f>_xll.BDP("TLSG SV Equity","SR477")</f>
        <v>2.9469573497772217</v>
      </c>
    </row>
    <row r="139" spans="1:25" x14ac:dyDescent="0.25">
      <c r="A139" t="s">
        <v>177</v>
      </c>
      <c r="B139" t="str">
        <f>_xll.BDP("TTLS IN Equity","DS192")</f>
        <v>TATA TELESERVICE</v>
      </c>
      <c r="C139">
        <f>_xll.BDP("TTLS IN Equity","RR910","DS215=USD","DY339=UNIT")</f>
        <v>873816043.97521329</v>
      </c>
      <c r="D139" t="str">
        <f>_xll.BDP("TTLS IN Equity","DX129")</f>
        <v>IN</v>
      </c>
      <c r="F139" t="str">
        <f>_xll.BDP("TTLS IN Equity","ST058")</f>
        <v>#N/A N/A</v>
      </c>
      <c r="G139" t="str">
        <f>_xll.BDP("TTLS IN Equity","SR468")</f>
        <v>#N/A N/A</v>
      </c>
      <c r="I139" t="str">
        <f>_xll.BDP("TTLS IN Equity","SR001")</f>
        <v>#N/A N/A</v>
      </c>
      <c r="J139" t="str">
        <f>_xll.BDP("TTLS IN Equity","SR002")</f>
        <v>#N/A N/A</v>
      </c>
      <c r="K139" t="str">
        <f>_xll.BDP("TTLS IN Equity","SR267")</f>
        <v>#N/A N/A</v>
      </c>
      <c r="N139" t="str">
        <f>_xll.BDP("TTLS IN Equity","SR238")</f>
        <v>#N/A N/A</v>
      </c>
      <c r="O139" t="str">
        <f>_xll.BDP("TTLS IN Equity","SR205")</f>
        <v>#N/A N/A</v>
      </c>
      <c r="P139" t="str">
        <f>_xll.BDP("TTLS IN Equity","SR211")</f>
        <v>#N/A N/A</v>
      </c>
      <c r="Q139" t="str">
        <f>_xll.BDP("TTLS IN Equity","SR235")</f>
        <v>#N/A N/A</v>
      </c>
      <c r="S139" t="str">
        <f>_xll.BDP("TTLS IN Equity","SR259")</f>
        <v>#N/A N/A</v>
      </c>
      <c r="T139" t="str">
        <f>_xll.BDP("TTLS IN Equity","SR263")</f>
        <v>#N/A N/A</v>
      </c>
      <c r="X139" t="str">
        <f>_xll.BDP("TTLS IN Equity","SR480")</f>
        <v>#N/A N/A</v>
      </c>
      <c r="Y139" t="str">
        <f>_xll.BDP("TTLS IN Equity","SR477")</f>
        <v>#N/A N/A</v>
      </c>
    </row>
    <row r="140" spans="1:25" x14ac:dyDescent="0.25">
      <c r="A140" t="s">
        <v>178</v>
      </c>
      <c r="B140" t="str">
        <f>_xll.BDP("EAT AB Equity","DS192")</f>
        <v>ETIHAD GO TELECO</v>
      </c>
      <c r="C140">
        <f>_xll.BDP("EAT AB Equity","RR910","DS215=USD","DY339=UNIT")</f>
        <v>845716848.8654716</v>
      </c>
      <c r="D140" t="str">
        <f>_xll.BDP("EAT AB Equity","DX129")</f>
        <v>SA</v>
      </c>
      <c r="F140">
        <f>_xll.BDP("EAT AB Equity","ST058")</f>
        <v>2.4</v>
      </c>
      <c r="G140">
        <f>_xll.BDP("EAT AB Equity","SR468")</f>
        <v>1.5</v>
      </c>
      <c r="I140">
        <f>_xll.BDP("EAT AB Equity","SR001")</f>
        <v>1.1100000143051147</v>
      </c>
      <c r="J140">
        <f>_xll.BDP("EAT AB Equity","SR002")</f>
        <v>6.5563730895519257E-2</v>
      </c>
      <c r="K140">
        <f>_xll.BDP("EAT AB Equity","SR267")</f>
        <v>0</v>
      </c>
      <c r="L140" t="s">
        <v>22</v>
      </c>
      <c r="N140">
        <f>_xll.BDP("EAT AB Equity","SR238")</f>
        <v>0</v>
      </c>
      <c r="O140">
        <f>_xll.BDP("EAT AB Equity","SR205")</f>
        <v>0</v>
      </c>
      <c r="P140">
        <f>_xll.BDP("EAT AB Equity","SR211")</f>
        <v>0</v>
      </c>
      <c r="Q140">
        <f>_xll.BDP("EAT AB Equity","SR235")</f>
        <v>1.9747449159622192</v>
      </c>
      <c r="S140">
        <f>_xll.BDP("EAT AB Equity","SR259")</f>
        <v>0</v>
      </c>
      <c r="T140">
        <f>_xll.BDP("EAT AB Equity","SR263")</f>
        <v>0</v>
      </c>
      <c r="U140" t="s">
        <v>22</v>
      </c>
      <c r="V140" t="s">
        <v>22</v>
      </c>
      <c r="X140">
        <f>_xll.BDP("EAT AB Equity","SR480")</f>
        <v>0</v>
      </c>
      <c r="Y140">
        <f>_xll.BDP("EAT AB Equity","SR477")</f>
        <v>0</v>
      </c>
    </row>
    <row r="141" spans="1:25" x14ac:dyDescent="0.25">
      <c r="A141" t="s">
        <v>179</v>
      </c>
      <c r="B141" t="str">
        <f>_xll.BDP("215 HK Equity","DS192")</f>
        <v>HUTCHTEL HK</v>
      </c>
      <c r="C141">
        <f>_xll.BDP("215 HK Equity","RR910","DS215=USD","DY339=UNIT")</f>
        <v>726026969.75188541</v>
      </c>
      <c r="D141" t="str">
        <f>_xll.BDP("215 HK Equity","DX129")</f>
        <v>HK</v>
      </c>
      <c r="F141">
        <f>_xll.BDP("215 HK Equity","ST058")</f>
        <v>13.5</v>
      </c>
      <c r="G141">
        <f>_xll.BDP("215 HK Equity","SR468")</f>
        <v>22.4</v>
      </c>
      <c r="I141">
        <f>_xll.BDP("215 HK Equity","SR001")</f>
        <v>2.1400001049041748</v>
      </c>
      <c r="J141">
        <f>_xll.BDP("215 HK Equity","SR002")</f>
        <v>1.7548407316207886</v>
      </c>
      <c r="K141">
        <f>_xll.BDP("215 HK Equity","SR267")</f>
        <v>0.58823531866073608</v>
      </c>
      <c r="L141" t="s">
        <v>43</v>
      </c>
      <c r="N141">
        <f>_xll.BDP("215 HK Equity","SR238")</f>
        <v>0</v>
      </c>
      <c r="O141">
        <f>_xll.BDP("215 HK Equity","SR205")</f>
        <v>2.4248223304748535</v>
      </c>
      <c r="P141">
        <f>_xll.BDP("215 HK Equity","SR211")</f>
        <v>10</v>
      </c>
      <c r="Q141">
        <f>_xll.BDP("215 HK Equity","SR235")</f>
        <v>3.6583123207092285</v>
      </c>
      <c r="S141">
        <f>_xll.BDP("215 HK Equity","SR259")</f>
        <v>0</v>
      </c>
      <c r="T141">
        <f>_xll.BDP("215 HK Equity","SR263")</f>
        <v>0.80000001192092896</v>
      </c>
      <c r="U141" t="s">
        <v>22</v>
      </c>
      <c r="V141" t="s">
        <v>44</v>
      </c>
      <c r="X141">
        <f>_xll.BDP("215 HK Equity","SR480")</f>
        <v>0</v>
      </c>
      <c r="Y141">
        <f>_xll.BDP("215 HK Equity","SR477")</f>
        <v>1.1055420637130737</v>
      </c>
    </row>
    <row r="142" spans="1:25" x14ac:dyDescent="0.25">
      <c r="A142" t="s">
        <v>180</v>
      </c>
      <c r="B142" t="str">
        <f>_xll.BDP("315 HK Equity","DS192")</f>
        <v>SMARTONE TELECOM</v>
      </c>
      <c r="C142">
        <f>_xll.BDP("315 HK Equity","RR910","DS215=USD","DY339=UNIT")</f>
        <v>697196267.93057847</v>
      </c>
      <c r="D142" t="str">
        <f>_xll.BDP("315 HK Equity","DX129")</f>
        <v>HK</v>
      </c>
      <c r="F142">
        <f>_xll.BDP("315 HK Equity","ST058")</f>
        <v>29.4</v>
      </c>
      <c r="G142">
        <f>_xll.BDP("315 HK Equity","SR468")</f>
        <v>30</v>
      </c>
      <c r="I142">
        <f>_xll.BDP("315 HK Equity","SR001")</f>
        <v>2.9100000858306885</v>
      </c>
      <c r="J142">
        <f>_xll.BDP("315 HK Equity","SR002")</f>
        <v>2.2837808132171631</v>
      </c>
      <c r="K142">
        <f>_xll.BDP("315 HK Equity","SR267")</f>
        <v>0.44117647409439087</v>
      </c>
      <c r="L142" t="s">
        <v>26</v>
      </c>
      <c r="N142">
        <f>_xll.BDP("315 HK Equity","SR238")</f>
        <v>0</v>
      </c>
      <c r="O142">
        <f>_xll.BDP("315 HK Equity","SR205")</f>
        <v>3.7691514492034912</v>
      </c>
      <c r="P142">
        <f>_xll.BDP("315 HK Equity","SR211")</f>
        <v>10</v>
      </c>
      <c r="Q142">
        <f>_xll.BDP("315 HK Equity","SR235")</f>
        <v>1.9747449159622192</v>
      </c>
      <c r="S142">
        <f>_xll.BDP("315 HK Equity","SR259")</f>
        <v>0</v>
      </c>
      <c r="T142">
        <f>_xll.BDP("315 HK Equity","SR263")</f>
        <v>0.60000002384185791</v>
      </c>
      <c r="U142" t="s">
        <v>22</v>
      </c>
      <c r="V142" t="s">
        <v>27</v>
      </c>
      <c r="X142">
        <f>_xll.BDP("315 HK Equity","SR480")</f>
        <v>0</v>
      </c>
      <c r="Y142">
        <f>_xll.BDP("315 HK Equity","SR477")</f>
        <v>3.2301962375640869</v>
      </c>
    </row>
    <row r="143" spans="1:25" x14ac:dyDescent="0.25">
      <c r="A143" t="s">
        <v>181</v>
      </c>
      <c r="B143" t="str">
        <f>_xll.BDP("ORDS OM Equity","DS192")</f>
        <v>OOREDOO</v>
      </c>
      <c r="C143">
        <f>_xll.BDP("ORDS OM Equity","RR910","DS215=USD","DY339=UNIT")</f>
        <v>625599004.95521927</v>
      </c>
      <c r="D143" t="str">
        <f>_xll.BDP("ORDS OM Equity","DX129")</f>
        <v>OM</v>
      </c>
      <c r="F143">
        <f>_xll.BDP("ORDS OM Equity","ST058")</f>
        <v>17.100000000000001</v>
      </c>
      <c r="G143">
        <f>_xll.BDP("ORDS OM Equity","SR468")</f>
        <v>19.399999999999999</v>
      </c>
      <c r="I143">
        <f>_xll.BDP("ORDS OM Equity","SR001")</f>
        <v>2.4200000762939453</v>
      </c>
      <c r="J143">
        <f>_xll.BDP("ORDS OM Equity","SR002")</f>
        <v>1.4417085647583008</v>
      </c>
      <c r="K143">
        <f>_xll.BDP("ORDS OM Equity","SR267")</f>
        <v>0.58823531866073608</v>
      </c>
      <c r="L143" t="s">
        <v>43</v>
      </c>
      <c r="N143">
        <f>_xll.BDP("ORDS OM Equity","SR238")</f>
        <v>0</v>
      </c>
      <c r="O143">
        <f>_xll.BDP("ORDS OM Equity","SR205")</f>
        <v>1.7622075080871582</v>
      </c>
      <c r="P143">
        <f>_xll.BDP("ORDS OM Equity","SR211")</f>
        <v>10</v>
      </c>
      <c r="Q143">
        <f>_xll.BDP("ORDS OM Equity","SR235")</f>
        <v>3.6583123207092285</v>
      </c>
      <c r="S143">
        <f>_xll.BDP("ORDS OM Equity","SR259")</f>
        <v>0</v>
      </c>
      <c r="T143">
        <f>_xll.BDP("ORDS OM Equity","SR263")</f>
        <v>0.80000001192092896</v>
      </c>
      <c r="U143" t="s">
        <v>22</v>
      </c>
      <c r="V143" t="s">
        <v>44</v>
      </c>
      <c r="X143">
        <f>_xll.BDP("ORDS OM Equity","SR480")</f>
        <v>0</v>
      </c>
      <c r="Y143">
        <f>_xll.BDP("ORDS OM Equity","SR477")</f>
        <v>0.80343806743621826</v>
      </c>
    </row>
    <row r="144" spans="1:25" x14ac:dyDescent="0.25">
      <c r="A144" t="s">
        <v>182</v>
      </c>
      <c r="B144" t="str">
        <f>_xll.BDP("OPTU US Equity","DS192")</f>
        <v>OPTIMUM COMMUNIC</v>
      </c>
      <c r="C144">
        <f>_xll.BDP("OPTU US Equity","RR910","DS215=USD","DY339=UNIT")</f>
        <v>620972190.95999992</v>
      </c>
      <c r="D144" t="str">
        <f>_xll.BDP("OPTU US Equity","DX129")</f>
        <v>US</v>
      </c>
      <c r="F144">
        <f>_xll.BDP("OPTU US Equity","ST058")</f>
        <v>50.6</v>
      </c>
      <c r="G144">
        <f>_xll.BDP("OPTU US Equity","SR468")</f>
        <v>90</v>
      </c>
      <c r="I144">
        <f>_xll.BDP("OPTU US Equity","SR001")</f>
        <v>3.7200000286102295</v>
      </c>
      <c r="J144">
        <f>_xll.BDP("OPTU US Equity","SR002")</f>
        <v>6.0097379684448242</v>
      </c>
      <c r="K144">
        <f>_xll.BDP("OPTU US Equity","SR267")</f>
        <v>0.94117647409439087</v>
      </c>
      <c r="L144" t="s">
        <v>51</v>
      </c>
      <c r="N144">
        <f>_xll.BDP("OPTU US Equity","SR238")</f>
        <v>7.6352925300598145</v>
      </c>
      <c r="O144">
        <f>_xll.BDP("OPTU US Equity","SR205")</f>
        <v>4.6990208625793457</v>
      </c>
      <c r="P144">
        <f>_xll.BDP("OPTU US Equity","SR211")</f>
        <v>10</v>
      </c>
      <c r="Q144">
        <f>_xll.BDP("OPTU US Equity","SR235")</f>
        <v>3.6583123207092285</v>
      </c>
      <c r="S144">
        <f>_xll.BDP("OPTU US Equity","SR259")</f>
        <v>0.77777779102325439</v>
      </c>
      <c r="T144">
        <f>_xll.BDP("OPTU US Equity","SR263")</f>
        <v>1</v>
      </c>
      <c r="U144" t="s">
        <v>52</v>
      </c>
      <c r="V144" t="s">
        <v>31</v>
      </c>
      <c r="X144">
        <f>_xll.BDP("OPTU US Equity","SR480")</f>
        <v>7.8072667121887207</v>
      </c>
      <c r="Y144">
        <f>_xll.BDP("OPTU US Equity","SR477")</f>
        <v>2.4902794361114502</v>
      </c>
    </row>
    <row r="145" spans="1:25" x14ac:dyDescent="0.25">
      <c r="A145" t="s">
        <v>183</v>
      </c>
      <c r="B145" t="str">
        <f>_xll.BDP("BAHNB SS Equity","DS192")</f>
        <v>BAHNHOF AB-B SHS</v>
      </c>
      <c r="C145">
        <f>_xll.BDP("BAHNB SS Equity","RR910","DS215=USD","DY339=UNIT")</f>
        <v>616726234.73341167</v>
      </c>
      <c r="D145" t="str">
        <f>_xll.BDP("BAHNB SS Equity","DX129")</f>
        <v>SE</v>
      </c>
      <c r="F145">
        <f>_xll.BDP("BAHNB SS Equity","ST058")</f>
        <v>1.2</v>
      </c>
      <c r="G145">
        <f>_xll.BDP("BAHNB SS Equity","SR468")</f>
        <v>4.4000000000000004</v>
      </c>
      <c r="I145">
        <f>_xll.BDP("BAHNB SS Equity","SR001")</f>
        <v>0.88999998569488525</v>
      </c>
      <c r="J145">
        <f>_xll.BDP("BAHNB SS Equity","SR002")</f>
        <v>0.10578136146068573</v>
      </c>
      <c r="K145">
        <f>_xll.BDP("BAHNB SS Equity","SR267")</f>
        <v>0</v>
      </c>
      <c r="L145" t="s">
        <v>22</v>
      </c>
      <c r="N145">
        <f>_xll.BDP("BAHNB SS Equity","SR238")</f>
        <v>0</v>
      </c>
      <c r="O145">
        <f>_xll.BDP("BAHNB SS Equity","SR205")</f>
        <v>0</v>
      </c>
      <c r="P145">
        <f>_xll.BDP("BAHNB SS Equity","SR211")</f>
        <v>0</v>
      </c>
      <c r="Q145">
        <f>_xll.BDP("BAHNB SS Equity","SR235")</f>
        <v>3.6583123207092285</v>
      </c>
      <c r="S145">
        <f>_xll.BDP("BAHNB SS Equity","SR259")</f>
        <v>0</v>
      </c>
      <c r="T145">
        <f>_xll.BDP("BAHNB SS Equity","SR263")</f>
        <v>0</v>
      </c>
      <c r="U145" t="s">
        <v>22</v>
      </c>
      <c r="V145" t="s">
        <v>22</v>
      </c>
      <c r="X145">
        <f>_xll.BDP("BAHNB SS Equity","SR480")</f>
        <v>0</v>
      </c>
      <c r="Y145">
        <f>_xll.BDP("BAHNB SS Equity","SR477")</f>
        <v>0</v>
      </c>
    </row>
    <row r="146" spans="1:25" x14ac:dyDescent="0.25">
      <c r="A146" t="s">
        <v>184</v>
      </c>
      <c r="B146" t="str">
        <f>_xll.BDP("GOGO US Equity","DS192")</f>
        <v>GOGO INC</v>
      </c>
      <c r="C146">
        <f>_xll.BDP("GOGO US Equity","RR910","DS215=USD","DY339=UNIT")</f>
        <v>614149454.87999988</v>
      </c>
      <c r="D146" t="str">
        <f>_xll.BDP("GOGO US Equity","DX129")</f>
        <v>US</v>
      </c>
      <c r="F146">
        <f>_xll.BDP("GOGO US Equity","ST058")</f>
        <v>11.2</v>
      </c>
      <c r="G146">
        <f>_xll.BDP("GOGO US Equity","SR468")</f>
        <v>8.1999999999999993</v>
      </c>
      <c r="I146">
        <f>_xll.BDP("GOGO US Equity","SR001")</f>
        <v>1.940000057220459</v>
      </c>
      <c r="J146">
        <f>_xll.BDP("GOGO US Equity","SR002")</f>
        <v>0.17467197775840759</v>
      </c>
      <c r="K146">
        <f>_xll.BDP("GOGO US Equity","SR267")</f>
        <v>0</v>
      </c>
      <c r="L146" t="s">
        <v>22</v>
      </c>
      <c r="N146">
        <f>_xll.BDP("GOGO US Equity","SR238")</f>
        <v>0</v>
      </c>
      <c r="O146">
        <f>_xll.BDP("GOGO US Equity","SR205")</f>
        <v>0</v>
      </c>
      <c r="P146">
        <f>_xll.BDP("GOGO US Equity","SR211")</f>
        <v>0</v>
      </c>
      <c r="Q146">
        <f>_xll.BDP("GOGO US Equity","SR235")</f>
        <v>7.3120193481445313</v>
      </c>
      <c r="S146">
        <f>_xll.BDP("GOGO US Equity","SR259")</f>
        <v>0</v>
      </c>
      <c r="T146">
        <f>_xll.BDP("GOGO US Equity","SR263")</f>
        <v>0</v>
      </c>
      <c r="U146" t="s">
        <v>22</v>
      </c>
      <c r="V146" t="s">
        <v>22</v>
      </c>
      <c r="X146">
        <f>_xll.BDP("GOGO US Equity","SR480")</f>
        <v>0</v>
      </c>
      <c r="Y146">
        <f>_xll.BDP("GOGO US Equity","SR477")</f>
        <v>0</v>
      </c>
    </row>
    <row r="147" spans="1:25" x14ac:dyDescent="0.25">
      <c r="A147" t="s">
        <v>185</v>
      </c>
      <c r="B147" t="str">
        <f>_xll.BDP("CTC CI Equity","DS192")</f>
        <v>TELEFONICA CHILE</v>
      </c>
      <c r="C147">
        <f>_xll.BDP("CTC CI Equity","RR910","DS215=USD","DY339=UNIT")</f>
        <v>569774760.03584969</v>
      </c>
      <c r="D147" t="str">
        <f>_xll.BDP("CTC CI Equity","DX129")</f>
        <v>CL</v>
      </c>
      <c r="F147">
        <f>_xll.BDP("CTC CI Equity","ST058")</f>
        <v>8.8000000000000007</v>
      </c>
      <c r="G147">
        <f>_xll.BDP("CTC CI Equity","SR468")</f>
        <v>11.2</v>
      </c>
      <c r="I147">
        <f>_xll.BDP("CTC CI Equity","SR001")</f>
        <v>1.3899999856948853</v>
      </c>
      <c r="J147">
        <f>_xll.BDP("CTC CI Equity","SR002")</f>
        <v>0.44548246264457703</v>
      </c>
      <c r="K147">
        <f>_xll.BDP("CTC CI Equity","SR267")</f>
        <v>0</v>
      </c>
      <c r="L147" t="s">
        <v>22</v>
      </c>
      <c r="N147">
        <f>_xll.BDP("CTC CI Equity","SR238")</f>
        <v>0</v>
      </c>
      <c r="O147">
        <f>_xll.BDP("CTC CI Equity","SR205")</f>
        <v>0</v>
      </c>
      <c r="P147">
        <f>_xll.BDP("CTC CI Equity","SR211")</f>
        <v>10</v>
      </c>
      <c r="Q147">
        <f>_xll.BDP("CTC CI Equity","SR235")</f>
        <v>1.9747449159622192</v>
      </c>
      <c r="S147">
        <f>_xll.BDP("CTC CI Equity","SR259")</f>
        <v>0</v>
      </c>
      <c r="T147">
        <f>_xll.BDP("CTC CI Equity","SR263")</f>
        <v>0</v>
      </c>
      <c r="U147" t="s">
        <v>22</v>
      </c>
      <c r="V147" t="s">
        <v>22</v>
      </c>
      <c r="X147">
        <f>_xll.BDP("CTC CI Equity","SR480")</f>
        <v>0</v>
      </c>
      <c r="Y147">
        <f>_xll.BDP("CTC CI Equity","SR477")</f>
        <v>0</v>
      </c>
    </row>
    <row r="148" spans="1:25" x14ac:dyDescent="0.25">
      <c r="A148" t="s">
        <v>186</v>
      </c>
      <c r="B148" t="str">
        <f>_xll.BDP("CABO US Equity","DS192")</f>
        <v>CABLE ONE INC</v>
      </c>
      <c r="C148">
        <f>_xll.BDP("CABO US Equity","RR910","DS215=USD","DY339=UNIT")</f>
        <v>520876473.05999994</v>
      </c>
      <c r="D148" t="str">
        <f>_xll.BDP("CABO US Equity","DX129")</f>
        <v>US</v>
      </c>
      <c r="F148">
        <f>_xll.BDP("CABO US Equity","ST058")</f>
        <v>15.3</v>
      </c>
      <c r="G148">
        <f>_xll.BDP("CABO US Equity","SR468")</f>
        <v>12.4</v>
      </c>
      <c r="I148">
        <f>_xll.BDP("CABO US Equity","SR001")</f>
        <v>2.3399999141693115</v>
      </c>
      <c r="J148">
        <f>_xll.BDP("CABO US Equity","SR002")</f>
        <v>0.49226287007331848</v>
      </c>
      <c r="K148">
        <f>_xll.BDP("CABO US Equity","SR267")</f>
        <v>0</v>
      </c>
      <c r="L148" t="s">
        <v>22</v>
      </c>
      <c r="N148">
        <f>_xll.BDP("CABO US Equity","SR238")</f>
        <v>0</v>
      </c>
      <c r="O148">
        <f>_xll.BDP("CABO US Equity","SR205")</f>
        <v>0</v>
      </c>
      <c r="P148">
        <f>_xll.BDP("CABO US Equity","SR211")</f>
        <v>10</v>
      </c>
      <c r="Q148">
        <f>_xll.BDP("CABO US Equity","SR235")</f>
        <v>3.6583123207092285</v>
      </c>
      <c r="S148">
        <f>_xll.BDP("CABO US Equity","SR259")</f>
        <v>0</v>
      </c>
      <c r="T148">
        <f>_xll.BDP("CABO US Equity","SR263")</f>
        <v>0</v>
      </c>
      <c r="U148" t="s">
        <v>22</v>
      </c>
      <c r="V148" t="s">
        <v>22</v>
      </c>
      <c r="X148">
        <f>_xll.BDP("CABO US Equity","SR480")</f>
        <v>0</v>
      </c>
      <c r="Y148">
        <f>_xll.BDP("CABO US Equity","SR477")</f>
        <v>0</v>
      </c>
    </row>
    <row r="149" spans="1:25" x14ac:dyDescent="0.25">
      <c r="A149" t="s">
        <v>187</v>
      </c>
      <c r="B149" t="str">
        <f>_xll.BDP("BLU SJ Equity","DS192")</f>
        <v>BLU LABEL UNLIMI</v>
      </c>
      <c r="C149">
        <f>_xll.BDP("BLU SJ Equity","RR910","DS215=USD","DY339=UNIT")</f>
        <v>478009966.44541901</v>
      </c>
      <c r="D149" t="str">
        <f>_xll.BDP("BLU SJ Equity","DX129")</f>
        <v>ZA</v>
      </c>
      <c r="F149">
        <f>_xll.BDP("BLU SJ Equity","ST058")</f>
        <v>71.8</v>
      </c>
      <c r="G149">
        <f>_xll.BDP("BLU SJ Equity","SR468")</f>
        <v>61.2</v>
      </c>
      <c r="I149">
        <f>_xll.BDP("BLU SJ Equity","SR001")</f>
        <v>4.369999885559082</v>
      </c>
      <c r="J149">
        <f>_xll.BDP("BLU SJ Equity","SR002")</f>
        <v>3.7131526470184326</v>
      </c>
      <c r="K149">
        <f>_xll.BDP("BLU SJ Equity","SR267")</f>
        <v>0.29411765933036804</v>
      </c>
      <c r="L149" t="s">
        <v>21</v>
      </c>
      <c r="N149">
        <f>_xll.BDP("BLU SJ Equity","SR238")</f>
        <v>0</v>
      </c>
      <c r="O149">
        <f>_xll.BDP("BLU SJ Equity","SR205")</f>
        <v>7.0826621055603027</v>
      </c>
      <c r="P149">
        <f>_xll.BDP("BLU SJ Equity","SR211")</f>
        <v>10</v>
      </c>
      <c r="Q149">
        <f>_xll.BDP("BLU SJ Equity","SR235")</f>
        <v>3.6583123207092285</v>
      </c>
      <c r="S149">
        <f>_xll.BDP("BLU SJ Equity","SR259")</f>
        <v>0</v>
      </c>
      <c r="T149">
        <f>_xll.BDP("BLU SJ Equity","SR263")</f>
        <v>0.40000000596046448</v>
      </c>
      <c r="U149" t="s">
        <v>22</v>
      </c>
      <c r="V149" t="s">
        <v>23</v>
      </c>
      <c r="X149">
        <f>_xll.BDP("BLU SJ Equity","SR480")</f>
        <v>0</v>
      </c>
      <c r="Y149">
        <f>_xll.BDP("BLU SJ Equity","SR477")</f>
        <v>9.4735279083251953</v>
      </c>
    </row>
    <row r="150" spans="1:25" x14ac:dyDescent="0.25">
      <c r="A150" t="s">
        <v>188</v>
      </c>
      <c r="B150" t="str">
        <f>_xll.BDP("9416 JP Equity","DS192")</f>
        <v>VISION INC/TOKYO</v>
      </c>
      <c r="C150">
        <f>_xll.BDP("9416 JP Equity","RR910","DS215=USD","DY339=UNIT")</f>
        <v>382661311.49354351</v>
      </c>
      <c r="D150" t="str">
        <f>_xll.BDP("9416 JP Equity","DX129")</f>
        <v>JP</v>
      </c>
      <c r="F150">
        <f>_xll.BDP("9416 JP Equity","ST058")</f>
        <v>14.1</v>
      </c>
      <c r="G150">
        <f>_xll.BDP("9416 JP Equity","SR468")</f>
        <v>31.2</v>
      </c>
      <c r="I150">
        <f>_xll.BDP("9416 JP Equity","SR001")</f>
        <v>2.1700000762939453</v>
      </c>
      <c r="J150">
        <f>_xll.BDP("9416 JP Equity","SR002")</f>
        <v>2.3113725185394287</v>
      </c>
      <c r="K150">
        <f>_xll.BDP("9416 JP Equity","SR267")</f>
        <v>0.73529410362243652</v>
      </c>
      <c r="L150" t="s">
        <v>40</v>
      </c>
      <c r="N150">
        <f>_xll.BDP("9416 JP Equity","SR238")</f>
        <v>0</v>
      </c>
      <c r="O150">
        <f>_xll.BDP("9416 JP Equity","SR205")</f>
        <v>5.2059321403503418</v>
      </c>
      <c r="P150">
        <f>_xll.BDP("9416 JP Equity","SR211")</f>
        <v>0</v>
      </c>
      <c r="Q150">
        <f>_xll.BDP("9416 JP Equity","SR235")</f>
        <v>3.6583123207092285</v>
      </c>
      <c r="S150">
        <f>_xll.BDP("9416 JP Equity","SR259")</f>
        <v>0</v>
      </c>
      <c r="T150">
        <f>_xll.BDP("9416 JP Equity","SR263")</f>
        <v>1</v>
      </c>
      <c r="U150" t="s">
        <v>22</v>
      </c>
      <c r="V150" t="s">
        <v>31</v>
      </c>
      <c r="X150">
        <f>_xll.BDP("9416 JP Equity","SR480")</f>
        <v>0</v>
      </c>
      <c r="Y150">
        <f>_xll.BDP("9416 JP Equity","SR477")</f>
        <v>3.2084038257598877</v>
      </c>
    </row>
    <row r="151" spans="1:25" x14ac:dyDescent="0.25">
      <c r="A151" t="s">
        <v>189</v>
      </c>
      <c r="B151" t="str">
        <f>_xll.BDP("3661 JP Equity","DS192")</f>
        <v>M-UP HOLDINGS IN</v>
      </c>
      <c r="C151">
        <f>_xll.BDP("3661 JP Equity","RR910","DS215=USD","DY339=UNIT")</f>
        <v>319863161.65606099</v>
      </c>
      <c r="D151" t="str">
        <f>_xll.BDP("3661 JP Equity","DX129")</f>
        <v>JP</v>
      </c>
      <c r="F151">
        <f>_xll.BDP("3661 JP Equity","ST058")</f>
        <v>7.6</v>
      </c>
      <c r="G151">
        <f>_xll.BDP("3661 JP Equity","SR468")</f>
        <v>8.1999999999999993</v>
      </c>
      <c r="I151">
        <f>_xll.BDP("3661 JP Equity","SR001")</f>
        <v>1.2999999523162842</v>
      </c>
      <c r="J151">
        <f>_xll.BDP("3661 JP Equity","SR002")</f>
        <v>0.17467197775840759</v>
      </c>
      <c r="K151">
        <f>_xll.BDP("3661 JP Equity","SR267")</f>
        <v>0</v>
      </c>
      <c r="L151" t="s">
        <v>22</v>
      </c>
      <c r="N151">
        <f>_xll.BDP("3661 JP Equity","SR238")</f>
        <v>0</v>
      </c>
      <c r="O151">
        <f>_xll.BDP("3661 JP Equity","SR205")</f>
        <v>0</v>
      </c>
      <c r="P151">
        <f>_xll.BDP("3661 JP Equity","SR211")</f>
        <v>0</v>
      </c>
      <c r="Q151">
        <f>_xll.BDP("3661 JP Equity","SR235")</f>
        <v>7.3120193481445313</v>
      </c>
      <c r="S151">
        <f>_xll.BDP("3661 JP Equity","SR259")</f>
        <v>0</v>
      </c>
      <c r="T151">
        <f>_xll.BDP("3661 JP Equity","SR263")</f>
        <v>0</v>
      </c>
      <c r="U151" t="s">
        <v>22</v>
      </c>
      <c r="V151" t="s">
        <v>22</v>
      </c>
      <c r="X151">
        <f>_xll.BDP("3661 JP Equity","SR480")</f>
        <v>0</v>
      </c>
      <c r="Y151">
        <f>_xll.BDP("3661 JP Equity","SR477")</f>
        <v>0</v>
      </c>
    </row>
    <row r="152" spans="1:25" x14ac:dyDescent="0.25">
      <c r="A152" t="s">
        <v>190</v>
      </c>
      <c r="B152" t="str">
        <f>_xll.BDP("GO MV Equity","DS192")</f>
        <v>GO PLC</v>
      </c>
      <c r="C152">
        <f>_xll.BDP("GO MV Equity","RR910","DS215=USD","DY339=UNIT")</f>
        <v>310212092.48113453</v>
      </c>
      <c r="D152" t="str">
        <f>_xll.BDP("GO MV Equity","DX129")</f>
        <v>MT</v>
      </c>
      <c r="F152">
        <f>_xll.BDP("GO MV Equity","ST058")</f>
        <v>14.7</v>
      </c>
      <c r="G152">
        <f>_xll.BDP("GO MV Equity","SR468")</f>
        <v>27.1</v>
      </c>
      <c r="I152">
        <f>_xll.BDP("GO MV Equity","SR001")</f>
        <v>2.25</v>
      </c>
      <c r="J152">
        <f>_xll.BDP("GO MV Equity","SR002")</f>
        <v>2.1525704860687256</v>
      </c>
      <c r="K152">
        <f>_xll.BDP("GO MV Equity","SR267")</f>
        <v>0.29411765933036804</v>
      </c>
      <c r="L152" t="s">
        <v>21</v>
      </c>
      <c r="N152">
        <f>_xll.BDP("GO MV Equity","SR238")</f>
        <v>0</v>
      </c>
      <c r="O152">
        <f>_xll.BDP("GO MV Equity","SR205")</f>
        <v>4.786078929901123</v>
      </c>
      <c r="P152">
        <f>_xll.BDP("GO MV Equity","SR211")</f>
        <v>0</v>
      </c>
      <c r="Q152">
        <f>_xll.BDP("GO MV Equity","SR235")</f>
        <v>3.6583123207092285</v>
      </c>
      <c r="S152">
        <f>_xll.BDP("GO MV Equity","SR259")</f>
        <v>0</v>
      </c>
      <c r="T152">
        <f>_xll.BDP("GO MV Equity","SR263")</f>
        <v>0.40000000596046448</v>
      </c>
      <c r="U152" t="s">
        <v>22</v>
      </c>
      <c r="V152" t="s">
        <v>23</v>
      </c>
      <c r="X152">
        <f>_xll.BDP("GO MV Equity","SR480")</f>
        <v>0</v>
      </c>
      <c r="Y152">
        <f>_xll.BDP("GO MV Equity","SR477")</f>
        <v>5.9605684280395508</v>
      </c>
    </row>
    <row r="153" spans="1:25" x14ac:dyDescent="0.25">
      <c r="A153" t="s">
        <v>191</v>
      </c>
      <c r="B153" t="str">
        <f>_xll.BDP("6464 TT Equity","DS192")</f>
        <v>TAIWAN OPTICAL</v>
      </c>
      <c r="C153">
        <f>_xll.BDP("6464 TT Equity","RR910","DS215=USD","DY339=UNIT")</f>
        <v>309911835.46382803</v>
      </c>
      <c r="D153" t="str">
        <f>_xll.BDP("6464 TT Equity","DX129")</f>
        <v>TW</v>
      </c>
      <c r="F153">
        <f>_xll.BDP("6464 TT Equity","ST058")</f>
        <v>40</v>
      </c>
      <c r="G153">
        <f>_xll.BDP("6464 TT Equity","SR468")</f>
        <v>25.9</v>
      </c>
      <c r="I153">
        <f>_xll.BDP("6464 TT Equity","SR001")</f>
        <v>3.2599999904632568</v>
      </c>
      <c r="J153">
        <f>_xll.BDP("6464 TT Equity","SR002")</f>
        <v>1.9348603487014771</v>
      </c>
      <c r="K153">
        <f>_xll.BDP("6464 TT Equity","SR267")</f>
        <v>0.58823531866073608</v>
      </c>
      <c r="L153" t="s">
        <v>43</v>
      </c>
      <c r="N153">
        <f>_xll.BDP("6464 TT Equity","SR238")</f>
        <v>0</v>
      </c>
      <c r="O153">
        <f>_xll.BDP("6464 TT Equity","SR205")</f>
        <v>2.819035530090332</v>
      </c>
      <c r="P153">
        <f>_xll.BDP("6464 TT Equity","SR211")</f>
        <v>10</v>
      </c>
      <c r="Q153">
        <f>_xll.BDP("6464 TT Equity","SR235")</f>
        <v>3.6583123207092285</v>
      </c>
      <c r="S153">
        <f>_xll.BDP("6464 TT Equity","SR259")</f>
        <v>0</v>
      </c>
      <c r="T153">
        <f>_xll.BDP("6464 TT Equity","SR263")</f>
        <v>0.80000001192092896</v>
      </c>
      <c r="U153" t="s">
        <v>22</v>
      </c>
      <c r="V153" t="s">
        <v>44</v>
      </c>
      <c r="X153">
        <f>_xll.BDP("6464 TT Equity","SR480")</f>
        <v>0</v>
      </c>
      <c r="Y153">
        <f>_xll.BDP("6464 TT Equity","SR477")</f>
        <v>1.2852746248245239</v>
      </c>
    </row>
    <row r="154" spans="1:25" x14ac:dyDescent="0.25">
      <c r="A154" t="s">
        <v>192</v>
      </c>
      <c r="B154" t="str">
        <f>_xll.BDP("JAS TB Equity","DS192")</f>
        <v>JASMINE INTL PCL</v>
      </c>
      <c r="C154">
        <f>_xll.BDP("JAS TB Equity","RR910","DS215=USD","DY339=UNIT")</f>
        <v>285189422.40309721</v>
      </c>
      <c r="D154" t="str">
        <f>_xll.BDP("JAS TB Equity","DX129")</f>
        <v>TH</v>
      </c>
      <c r="F154">
        <f>_xll.BDP("JAS TB Equity","ST058")</f>
        <v>24.1</v>
      </c>
      <c r="G154">
        <f>_xll.BDP("JAS TB Equity","SR468")</f>
        <v>67.099999999999994</v>
      </c>
      <c r="I154">
        <f>_xll.BDP("JAS TB Equity","SR001")</f>
        <v>2.6600000858306885</v>
      </c>
      <c r="J154">
        <f>_xll.BDP("JAS TB Equity","SR002")</f>
        <v>4.2557439804077148</v>
      </c>
      <c r="K154">
        <f>_xll.BDP("JAS TB Equity","SR267")</f>
        <v>0.44117647409439087</v>
      </c>
      <c r="L154" t="s">
        <v>26</v>
      </c>
      <c r="N154">
        <f>_xll.BDP("JAS TB Equity","SR238")</f>
        <v>0</v>
      </c>
      <c r="O154">
        <f>_xll.BDP("JAS TB Equity","SR205")</f>
        <v>8.0983924865722656</v>
      </c>
      <c r="P154">
        <f>_xll.BDP("JAS TB Equity","SR211")</f>
        <v>10</v>
      </c>
      <c r="Q154">
        <f>_xll.BDP("JAS TB Equity","SR235")</f>
        <v>7.3120193481445313</v>
      </c>
      <c r="S154">
        <f>_xll.BDP("JAS TB Equity","SR259")</f>
        <v>0</v>
      </c>
      <c r="T154">
        <f>_xll.BDP("JAS TB Equity","SR263")</f>
        <v>0.60000002384185791</v>
      </c>
      <c r="U154" t="s">
        <v>22</v>
      </c>
      <c r="V154" t="s">
        <v>27</v>
      </c>
      <c r="X154">
        <f>_xll.BDP("JAS TB Equity","SR480")</f>
        <v>0</v>
      </c>
      <c r="Y154">
        <f>_xll.BDP("JAS TB Equity","SR477")</f>
        <v>9.5291719436645508</v>
      </c>
    </row>
    <row r="155" spans="1:25" x14ac:dyDescent="0.25">
      <c r="A155" t="s">
        <v>193</v>
      </c>
      <c r="B155" t="str">
        <f>_xll.BDP("TC1 GR Equity","DS192")</f>
        <v>TELE COLUMBUS AG</v>
      </c>
      <c r="C155">
        <f>_xll.BDP("TC1 GR Equity","RR910","DS215=USD","DY339=UNIT")</f>
        <v>265461888.94385216</v>
      </c>
      <c r="D155" t="str">
        <f>_xll.BDP("TC1 GR Equity","DX129")</f>
        <v>DE</v>
      </c>
      <c r="F155">
        <f>_xll.BDP("TC1 GR Equity","ST058")</f>
        <v>42.4</v>
      </c>
      <c r="G155">
        <f>_xll.BDP("TC1 GR Equity","SR468")</f>
        <v>72.400000000000006</v>
      </c>
      <c r="I155">
        <f>_xll.BDP("TC1 GR Equity","SR001")</f>
        <v>3.369999885559082</v>
      </c>
      <c r="J155">
        <f>_xll.BDP("TC1 GR Equity","SR002")</f>
        <v>4.4849634170532227</v>
      </c>
      <c r="K155">
        <f>_xll.BDP("TC1 GR Equity","SR267")</f>
        <v>0.73529410362243652</v>
      </c>
      <c r="L155" t="s">
        <v>40</v>
      </c>
      <c r="N155">
        <f>_xll.BDP("TC1 GR Equity","SR238")</f>
        <v>0</v>
      </c>
      <c r="O155">
        <f>_xll.BDP("TC1 GR Equity","SR205")</f>
        <v>9.0805778503417969</v>
      </c>
      <c r="P155">
        <f>_xll.BDP("TC1 GR Equity","SR211")</f>
        <v>10</v>
      </c>
      <c r="Q155">
        <f>_xll.BDP("TC1 GR Equity","SR235")</f>
        <v>3.6583123207092285</v>
      </c>
      <c r="S155">
        <f>_xll.BDP("TC1 GR Equity","SR259")</f>
        <v>0</v>
      </c>
      <c r="T155">
        <f>_xll.BDP("TC1 GR Equity","SR263")</f>
        <v>1</v>
      </c>
      <c r="U155" t="s">
        <v>22</v>
      </c>
      <c r="V155" t="s">
        <v>31</v>
      </c>
      <c r="X155">
        <f>_xll.BDP("TC1 GR Equity","SR480")</f>
        <v>0</v>
      </c>
      <c r="Y155">
        <f>_xll.BDP("TC1 GR Equity","SR477")</f>
        <v>8.6974849700927734</v>
      </c>
    </row>
    <row r="156" spans="1:25" x14ac:dyDescent="0.25">
      <c r="A156" t="s">
        <v>194</v>
      </c>
      <c r="B156" t="str">
        <f>_xll.BDP("SKT NZ Equity","DS192")</f>
        <v>SKY NETWORK TEL</v>
      </c>
      <c r="C156">
        <f>_xll.BDP("SKT NZ Equity","RR910","DS215=USD","DY339=UNIT")</f>
        <v>245398817.7715036</v>
      </c>
      <c r="D156" t="str">
        <f>_xll.BDP("SKT NZ Equity","DX129")</f>
        <v>NZ</v>
      </c>
      <c r="F156">
        <f>_xll.BDP("SKT NZ Equity","ST058")</f>
        <v>32.4</v>
      </c>
      <c r="G156">
        <f>_xll.BDP("SKT NZ Equity","SR468")</f>
        <v>35.9</v>
      </c>
      <c r="I156">
        <f>_xll.BDP("SKT NZ Equity","SR001")</f>
        <v>2.9900000095367432</v>
      </c>
      <c r="J156">
        <f>_xll.BDP("SKT NZ Equity","SR002")</f>
        <v>2.4272959232330322</v>
      </c>
      <c r="K156">
        <f>_xll.BDP("SKT NZ Equity","SR267")</f>
        <v>0.14705882966518402</v>
      </c>
      <c r="L156" t="s">
        <v>171</v>
      </c>
      <c r="N156">
        <f>_xll.BDP("SKT NZ Equity","SR238")</f>
        <v>0</v>
      </c>
      <c r="O156">
        <f>_xll.BDP("SKT NZ Equity","SR205")</f>
        <v>5.5151090621948242</v>
      </c>
      <c r="P156">
        <f>_xll.BDP("SKT NZ Equity","SR211")</f>
        <v>0</v>
      </c>
      <c r="Q156">
        <f>_xll.BDP("SKT NZ Equity","SR235")</f>
        <v>3.6583123207092285</v>
      </c>
      <c r="S156">
        <f>_xll.BDP("SKT NZ Equity","SR259")</f>
        <v>0</v>
      </c>
      <c r="T156">
        <f>_xll.BDP("SKT NZ Equity","SR263")</f>
        <v>0.20000000298023224</v>
      </c>
      <c r="U156" t="s">
        <v>22</v>
      </c>
      <c r="V156" t="s">
        <v>172</v>
      </c>
      <c r="X156">
        <f>_xll.BDP("SKT NZ Equity","SR480")</f>
        <v>0</v>
      </c>
      <c r="Y156">
        <f>_xll.BDP("SKT NZ Equity","SR477")</f>
        <v>8.9486427307128906</v>
      </c>
    </row>
    <row r="157" spans="1:25" x14ac:dyDescent="0.25">
      <c r="A157" t="s">
        <v>195</v>
      </c>
      <c r="B157" t="str">
        <f>_xll.BDP("4390 JP Equity","DS192")</f>
        <v>IPS INC</v>
      </c>
      <c r="C157">
        <f>_xll.BDP("4390 JP Equity","RR910","DS215=USD","DY339=UNIT")</f>
        <v>247247130.59866628</v>
      </c>
      <c r="D157" t="str">
        <f>_xll.BDP("4390 JP Equity","DX129")</f>
        <v>JP</v>
      </c>
      <c r="F157">
        <f>_xll.BDP("4390 JP Equity","ST058")</f>
        <v>4.7</v>
      </c>
      <c r="G157">
        <f>_xll.BDP("4390 JP Equity","SR468")</f>
        <v>0</v>
      </c>
      <c r="I157">
        <f>_xll.BDP("4390 JP Equity","SR001")</f>
        <v>1.2100000381469727</v>
      </c>
      <c r="J157">
        <f>_xll.BDP("4390 JP Equity","SR002")</f>
        <v>0</v>
      </c>
      <c r="K157">
        <f>_xll.BDP("4390 JP Equity","SR267")</f>
        <v>0</v>
      </c>
      <c r="L157" t="s">
        <v>22</v>
      </c>
      <c r="N157">
        <f>_xll.BDP("4390 JP Equity","SR238")</f>
        <v>0</v>
      </c>
      <c r="O157">
        <f>_xll.BDP("4390 JP Equity","SR205")</f>
        <v>0</v>
      </c>
      <c r="P157">
        <f>_xll.BDP("4390 JP Equity","SR211")</f>
        <v>0</v>
      </c>
      <c r="Q157">
        <f>_xll.BDP("4390 JP Equity","SR235")</f>
        <v>0</v>
      </c>
      <c r="S157">
        <f>_xll.BDP("4390 JP Equity","SR259")</f>
        <v>0</v>
      </c>
      <c r="T157">
        <f>_xll.BDP("4390 JP Equity","SR263")</f>
        <v>0</v>
      </c>
      <c r="U157" t="s">
        <v>22</v>
      </c>
      <c r="V157" t="s">
        <v>22</v>
      </c>
      <c r="X157">
        <f>_xll.BDP("4390 JP Equity","SR480")</f>
        <v>0</v>
      </c>
      <c r="Y157">
        <f>_xll.BDP("4390 JP Equity","SR477")</f>
        <v>0</v>
      </c>
    </row>
    <row r="158" spans="1:25" x14ac:dyDescent="0.25">
      <c r="A158" t="s">
        <v>196</v>
      </c>
      <c r="B158" t="str">
        <f>_xll.BDP("3843 JP Equity","DS192")</f>
        <v>FREEBIT CO LTD</v>
      </c>
      <c r="C158">
        <f>_xll.BDP("3843 JP Equity","RR910","DS215=USD","DY339=UNIT")</f>
        <v>222355307.24030185</v>
      </c>
      <c r="D158" t="str">
        <f>_xll.BDP("3843 JP Equity","DX129")</f>
        <v>JP</v>
      </c>
      <c r="F158">
        <f>_xll.BDP("3843 JP Equity","ST058")</f>
        <v>7.1</v>
      </c>
      <c r="G158">
        <f>_xll.BDP("3843 JP Equity","SR468")</f>
        <v>10.3</v>
      </c>
      <c r="I158">
        <f>_xll.BDP("3843 JP Equity","SR001")</f>
        <v>1.2899999618530273</v>
      </c>
      <c r="J158">
        <f>_xll.BDP("3843 JP Equity","SR002")</f>
        <v>0.36894848942756653</v>
      </c>
      <c r="K158">
        <f>_xll.BDP("3843 JP Equity","SR267")</f>
        <v>0</v>
      </c>
      <c r="L158" t="s">
        <v>22</v>
      </c>
      <c r="N158">
        <f>_xll.BDP("3843 JP Equity","SR238")</f>
        <v>0</v>
      </c>
      <c r="O158">
        <f>_xll.BDP("3843 JP Equity","SR205")</f>
        <v>0</v>
      </c>
      <c r="P158">
        <f>_xll.BDP("3843 JP Equity","SR211")</f>
        <v>10</v>
      </c>
      <c r="Q158">
        <f>_xll.BDP("3843 JP Equity","SR235")</f>
        <v>0</v>
      </c>
      <c r="S158">
        <f>_xll.BDP("3843 JP Equity","SR259")</f>
        <v>0</v>
      </c>
      <c r="T158">
        <f>_xll.BDP("3843 JP Equity","SR263")</f>
        <v>0</v>
      </c>
      <c r="U158" t="s">
        <v>22</v>
      </c>
      <c r="V158" t="s">
        <v>22</v>
      </c>
      <c r="X158">
        <f>_xll.BDP("3843 JP Equity","SR480")</f>
        <v>0</v>
      </c>
      <c r="Y158">
        <f>_xll.BDP("3843 JP Equity","SR477")</f>
        <v>0</v>
      </c>
    </row>
    <row r="159" spans="1:25" x14ac:dyDescent="0.25">
      <c r="A159" t="s">
        <v>197</v>
      </c>
      <c r="B159" t="str">
        <f>_xll.BDP("MTNL IN Equity","DS192")</f>
        <v>MAHANAGAR TELE</v>
      </c>
      <c r="C159">
        <f>_xll.BDP("MTNL IN Equity","RR910","DS215=USD","DY339=UNIT")</f>
        <v>198199205.02353811</v>
      </c>
      <c r="D159" t="str">
        <f>_xll.BDP("MTNL IN Equity","DX129")</f>
        <v>IN</v>
      </c>
      <c r="F159" t="str">
        <f>_xll.BDP("MTNL IN Equity","ST058")</f>
        <v>#N/A N/A</v>
      </c>
      <c r="G159" t="str">
        <f>_xll.BDP("MTNL IN Equity","SR468")</f>
        <v>#N/A N/A</v>
      </c>
      <c r="I159" t="str">
        <f>_xll.BDP("MTNL IN Equity","SR001")</f>
        <v>#N/A N/A</v>
      </c>
      <c r="J159" t="str">
        <f>_xll.BDP("MTNL IN Equity","SR002")</f>
        <v>#N/A N/A</v>
      </c>
      <c r="K159" t="str">
        <f>_xll.BDP("MTNL IN Equity","SR267")</f>
        <v>#N/A N/A</v>
      </c>
      <c r="N159" t="str">
        <f>_xll.BDP("MTNL IN Equity","SR238")</f>
        <v>#N/A N/A</v>
      </c>
      <c r="O159" t="str">
        <f>_xll.BDP("MTNL IN Equity","SR205")</f>
        <v>#N/A N/A</v>
      </c>
      <c r="P159" t="str">
        <f>_xll.BDP("MTNL IN Equity","SR211")</f>
        <v>#N/A N/A</v>
      </c>
      <c r="Q159" t="str">
        <f>_xll.BDP("MTNL IN Equity","SR235")</f>
        <v>#N/A N/A</v>
      </c>
      <c r="S159" t="str">
        <f>_xll.BDP("MTNL IN Equity","SR259")</f>
        <v>#N/A N/A</v>
      </c>
      <c r="T159" t="str">
        <f>_xll.BDP("MTNL IN Equity","SR263")</f>
        <v>#N/A N/A</v>
      </c>
      <c r="X159" t="str">
        <f>_xll.BDP("MTNL IN Equity","SR480")</f>
        <v>#N/A N/A</v>
      </c>
      <c r="Y159" t="str">
        <f>_xll.BDP("MTNL IN Equity","SR477")</f>
        <v>#N/A N/A</v>
      </c>
    </row>
    <row r="160" spans="1:25" x14ac:dyDescent="0.25">
      <c r="A160" t="s">
        <v>198</v>
      </c>
      <c r="B160" t="str">
        <f>_xll.BDP("ASTRO MK Equity","DS192")</f>
        <v>ASTRO MALAYSIA</v>
      </c>
      <c r="C160">
        <f>_xll.BDP("ASTRO MK Equity","RR910","DS215=USD","DY339=UNIT")</f>
        <v>98600779.592025951</v>
      </c>
      <c r="D160" t="str">
        <f>_xll.BDP("ASTRO MK Equity","DX129")</f>
        <v>MY</v>
      </c>
      <c r="F160">
        <f>_xll.BDP("ASTRO MK Equity","ST058")</f>
        <v>66.5</v>
      </c>
      <c r="G160">
        <f>_xll.BDP("ASTRO MK Equity","SR468")</f>
        <v>60</v>
      </c>
      <c r="I160">
        <f>_xll.BDP("ASTRO MK Equity","SR001")</f>
        <v>4.25</v>
      </c>
      <c r="J160">
        <f>_xll.BDP("ASTRO MK Equity","SR002")</f>
        <v>3.6220932006835938</v>
      </c>
      <c r="K160">
        <f>_xll.BDP("ASTRO MK Equity","SR267")</f>
        <v>0.44117647409439087</v>
      </c>
      <c r="L160" t="s">
        <v>26</v>
      </c>
      <c r="N160">
        <f>_xll.BDP("ASTRO MK Equity","SR238")</f>
        <v>0</v>
      </c>
      <c r="O160">
        <f>_xll.BDP("ASTRO MK Equity","SR205")</f>
        <v>6.8517212867736816</v>
      </c>
      <c r="P160">
        <f>_xll.BDP("ASTRO MK Equity","SR211")</f>
        <v>10</v>
      </c>
      <c r="Q160">
        <f>_xll.BDP("ASTRO MK Equity","SR235")</f>
        <v>3.6583123207092285</v>
      </c>
      <c r="S160">
        <f>_xll.BDP("ASTRO MK Equity","SR259")</f>
        <v>0</v>
      </c>
      <c r="T160">
        <f>_xll.BDP("ASTRO MK Equity","SR263")</f>
        <v>0.60000002384185791</v>
      </c>
      <c r="U160" t="s">
        <v>22</v>
      </c>
      <c r="V160" t="s">
        <v>27</v>
      </c>
      <c r="X160">
        <f>_xll.BDP("ASTRO MK Equity","SR480")</f>
        <v>0</v>
      </c>
      <c r="Y160">
        <f>_xll.BDP("ASTRO MK Equity","SR477")</f>
        <v>7.7152857780456543</v>
      </c>
    </row>
    <row r="161" spans="1:25" x14ac:dyDescent="0.25">
      <c r="A161" t="s">
        <v>199</v>
      </c>
      <c r="B161" t="str">
        <f>_xll.BDP("DITV IN Equity","DS192")</f>
        <v>DISH TV INDIA</v>
      </c>
      <c r="C161">
        <f>_xll.BDP("DITV IN Equity","RR910","DS215=USD","DY339=UNIT")</f>
        <v>59603862.957834661</v>
      </c>
      <c r="D161" t="str">
        <f>_xll.BDP("DITV IN Equity","DX129")</f>
        <v>IN</v>
      </c>
      <c r="F161" t="str">
        <f>_xll.BDP("DITV IN Equity","ST058")</f>
        <v>#N/A N/A</v>
      </c>
      <c r="G161" t="str">
        <f>_xll.BDP("DITV IN Equity","SR468")</f>
        <v>#N/A N/A</v>
      </c>
      <c r="I161" t="str">
        <f>_xll.BDP("DITV IN Equity","SR001")</f>
        <v>#N/A N/A</v>
      </c>
      <c r="J161" t="str">
        <f>_xll.BDP("DITV IN Equity","SR002")</f>
        <v>#N/A N/A</v>
      </c>
      <c r="K161" t="str">
        <f>_xll.BDP("DITV IN Equity","SR267")</f>
        <v>#N/A N/A</v>
      </c>
      <c r="N161" t="str">
        <f>_xll.BDP("DITV IN Equity","SR238")</f>
        <v>#N/A N/A</v>
      </c>
      <c r="O161" t="str">
        <f>_xll.BDP("DITV IN Equity","SR205")</f>
        <v>#N/A N/A</v>
      </c>
      <c r="P161" t="str">
        <f>_xll.BDP("DITV IN Equity","SR211")</f>
        <v>#N/A N/A</v>
      </c>
      <c r="Q161" t="str">
        <f>_xll.BDP("DITV IN Equity","SR235")</f>
        <v>#N/A N/A</v>
      </c>
      <c r="S161" t="str">
        <f>_xll.BDP("DITV IN Equity","SR259")</f>
        <v>#N/A N/A</v>
      </c>
      <c r="T161" t="str">
        <f>_xll.BDP("DITV IN Equity","SR263")</f>
        <v>#N/A N/A</v>
      </c>
      <c r="X161" t="str">
        <f>_xll.BDP("DITV IN Equity","SR480")</f>
        <v>#N/A N/A</v>
      </c>
      <c r="Y161" t="str">
        <f>_xll.BDP("DITV IN Equity","SR477")</f>
        <v>#N/A N/A</v>
      </c>
    </row>
    <row r="162" spans="1:25" x14ac:dyDescent="0.25">
      <c r="A162" t="s">
        <v>200</v>
      </c>
      <c r="B162" t="str">
        <f>_xll.BDP("TSL IM Equity","DS192")</f>
        <v>TESSELLIS SPA</v>
      </c>
      <c r="C162">
        <f>_xll.BDP("TSL IM Equity","RR910","DS215=USD","DY339=UNIT")</f>
        <v>46265101.230070882</v>
      </c>
      <c r="D162" t="str">
        <f>_xll.BDP("TSL IM Equity","DX129")</f>
        <v>IT</v>
      </c>
      <c r="F162">
        <f>_xll.BDP("TSL IM Equity","ST058")</f>
        <v>24.7</v>
      </c>
      <c r="G162">
        <f>_xll.BDP("TSL IM Equity","SR468")</f>
        <v>38.200000000000003</v>
      </c>
      <c r="I162">
        <f>_xll.BDP("TSL IM Equity","SR001")</f>
        <v>2.7400000095367432</v>
      </c>
      <c r="J162">
        <f>_xll.BDP("TSL IM Equity","SR002")</f>
        <v>2.5847866535186768</v>
      </c>
      <c r="K162">
        <f>_xll.BDP("TSL IM Equity","SR267")</f>
        <v>0.58823531866073608</v>
      </c>
      <c r="L162" t="s">
        <v>43</v>
      </c>
      <c r="N162">
        <f>_xll.BDP("TSL IM Equity","SR238")</f>
        <v>0</v>
      </c>
      <c r="O162">
        <f>_xll.BDP("TSL IM Equity","SR205")</f>
        <v>4.482764720916748</v>
      </c>
      <c r="P162">
        <f>_xll.BDP("TSL IM Equity","SR211")</f>
        <v>10</v>
      </c>
      <c r="Q162">
        <f>_xll.BDP("TSL IM Equity","SR235")</f>
        <v>1.9747449159622192</v>
      </c>
      <c r="S162">
        <f>_xll.BDP("TSL IM Equity","SR259")</f>
        <v>0</v>
      </c>
      <c r="T162">
        <f>_xll.BDP("TSL IM Equity","SR263")</f>
        <v>0.80000001192092896</v>
      </c>
      <c r="U162" t="s">
        <v>22</v>
      </c>
      <c r="V162" t="s">
        <v>44</v>
      </c>
      <c r="X162">
        <f>_xll.BDP("TSL IM Equity","SR480")</f>
        <v>0</v>
      </c>
      <c r="Y162">
        <f>_xll.BDP("TSL IM Equity","SR477")</f>
        <v>3.1979825496673584</v>
      </c>
    </row>
    <row r="163" spans="1:25" x14ac:dyDescent="0.25">
      <c r="A163" t="s">
        <v>201</v>
      </c>
      <c r="B163" t="str">
        <f>_xll.BDP("RCOM IN Equity","DS192")</f>
        <v>RELIANCE COMMUNI</v>
      </c>
      <c r="C163">
        <f>_xll.BDP("RCOM IN Equity","RR910","DS215=USD","DY339=UNIT")</f>
        <v>28760535.901053973</v>
      </c>
      <c r="D163" t="str">
        <f>_xll.BDP("RCOM IN Equity","DX129")</f>
        <v>IN</v>
      </c>
      <c r="F163" t="str">
        <f>_xll.BDP("RCOM IN Equity","ST058")</f>
        <v>#N/A N/A</v>
      </c>
      <c r="G163" t="str">
        <f>_xll.BDP("RCOM IN Equity","SR468")</f>
        <v>#N/A N/A</v>
      </c>
      <c r="I163" t="str">
        <f>_xll.BDP("RCOM IN Equity","SR001")</f>
        <v>#N/A N/A</v>
      </c>
      <c r="J163" t="str">
        <f>_xll.BDP("RCOM IN Equity","SR002")</f>
        <v>#N/A N/A</v>
      </c>
      <c r="K163" t="str">
        <f>_xll.BDP("RCOM IN Equity","SR267")</f>
        <v>#N/A N/A</v>
      </c>
      <c r="N163" t="str">
        <f>_xll.BDP("RCOM IN Equity","SR238")</f>
        <v>#N/A N/A</v>
      </c>
      <c r="O163" t="str">
        <f>_xll.BDP("RCOM IN Equity","SR205")</f>
        <v>#N/A N/A</v>
      </c>
      <c r="P163" t="str">
        <f>_xll.BDP("RCOM IN Equity","SR211")</f>
        <v>#N/A N/A</v>
      </c>
      <c r="Q163" t="str">
        <f>_xll.BDP("RCOM IN Equity","SR235")</f>
        <v>#N/A N/A</v>
      </c>
      <c r="S163" t="str">
        <f>_xll.BDP("RCOM IN Equity","SR259")</f>
        <v>#N/A N/A</v>
      </c>
      <c r="T163" t="str">
        <f>_xll.BDP("RCOM IN Equity","SR263")</f>
        <v>#N/A N/A</v>
      </c>
      <c r="X163" t="str">
        <f>_xll.BDP("RCOM IN Equity","SR480")</f>
        <v>#N/A N/A</v>
      </c>
      <c r="Y163" t="str">
        <f>_xll.BDP("RCOM IN Equity","SR477")</f>
        <v>#N/A N/A</v>
      </c>
    </row>
  </sheetData>
  <mergeCells count="1">
    <mergeCell ref="B3:Y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D245F-5EA4-4F24-91B1-6D047C7625FB}">
  <dimension ref="A1:AI163"/>
  <sheetViews>
    <sheetView tabSelected="1" workbookViewId="0">
      <selection activeCell="H16" sqref="H16"/>
    </sheetView>
  </sheetViews>
  <sheetFormatPr defaultRowHeight="15" x14ac:dyDescent="0.25"/>
  <cols>
    <col min="1" max="1" width="31.42578125" customWidth="1"/>
  </cols>
  <sheetData>
    <row r="1" spans="1:35" x14ac:dyDescent="0.25">
      <c r="A1" t="s">
        <v>1</v>
      </c>
      <c r="B1" t="s">
        <v>2</v>
      </c>
      <c r="C1" t="s">
        <v>3</v>
      </c>
      <c r="E1" t="s">
        <v>4</v>
      </c>
      <c r="F1" t="s">
        <v>466</v>
      </c>
      <c r="H1" t="s">
        <v>6</v>
      </c>
      <c r="I1" t="s">
        <v>467</v>
      </c>
      <c r="J1" t="s">
        <v>468</v>
      </c>
      <c r="K1" t="s">
        <v>469</v>
      </c>
      <c r="M1" t="s">
        <v>470</v>
      </c>
      <c r="N1" t="s">
        <v>471</v>
      </c>
      <c r="O1" t="s">
        <v>472</v>
      </c>
      <c r="P1" t="s">
        <v>473</v>
      </c>
      <c r="Q1" t="s">
        <v>474</v>
      </c>
      <c r="R1" t="s">
        <v>475</v>
      </c>
      <c r="T1" t="s">
        <v>476</v>
      </c>
      <c r="U1" t="s">
        <v>477</v>
      </c>
      <c r="V1" t="s">
        <v>478</v>
      </c>
      <c r="W1" t="s">
        <v>479</v>
      </c>
      <c r="X1" t="s">
        <v>480</v>
      </c>
      <c r="Y1" t="s">
        <v>481</v>
      </c>
      <c r="Z1" t="s">
        <v>482</v>
      </c>
      <c r="AA1" t="s">
        <v>483</v>
      </c>
      <c r="AB1" t="s">
        <v>484</v>
      </c>
      <c r="AC1" t="s">
        <v>485</v>
      </c>
      <c r="AE1" t="s">
        <v>486</v>
      </c>
      <c r="AF1" t="s">
        <v>487</v>
      </c>
      <c r="AG1" t="s">
        <v>488</v>
      </c>
      <c r="AH1" t="s">
        <v>489</v>
      </c>
      <c r="AI1" t="s">
        <v>490</v>
      </c>
    </row>
    <row r="2" spans="1:35" x14ac:dyDescent="0.25">
      <c r="A2" t="s">
        <v>218</v>
      </c>
      <c r="B2">
        <v>13808990527.234337</v>
      </c>
      <c r="C2" t="s">
        <v>219</v>
      </c>
      <c r="E2">
        <v>63.5</v>
      </c>
      <c r="F2">
        <v>89.4</v>
      </c>
      <c r="H2">
        <v>4.059999942779541</v>
      </c>
      <c r="I2">
        <v>4.9287467002868652</v>
      </c>
      <c r="J2">
        <v>0.40566039085388184</v>
      </c>
      <c r="K2" t="s">
        <v>491</v>
      </c>
      <c r="M2">
        <v>2.6963756084442139</v>
      </c>
      <c r="N2">
        <v>7.9494895935058594</v>
      </c>
      <c r="O2">
        <v>4.4002895355224609</v>
      </c>
      <c r="P2">
        <v>3</v>
      </c>
      <c r="Q2">
        <v>10</v>
      </c>
      <c r="R2">
        <v>0</v>
      </c>
      <c r="T2">
        <v>0.27586206793785095</v>
      </c>
      <c r="U2">
        <v>0.5</v>
      </c>
      <c r="V2">
        <v>0.73076921701431274</v>
      </c>
      <c r="W2">
        <v>0</v>
      </c>
      <c r="X2">
        <v>1</v>
      </c>
      <c r="Y2" t="s">
        <v>492</v>
      </c>
      <c r="Z2" t="s">
        <v>86</v>
      </c>
      <c r="AA2" t="s">
        <v>493</v>
      </c>
      <c r="AB2" t="s">
        <v>22</v>
      </c>
      <c r="AC2" t="s">
        <v>31</v>
      </c>
      <c r="AE2">
        <v>3.5527522563934326</v>
      </c>
      <c r="AF2">
        <v>10</v>
      </c>
      <c r="AG2">
        <v>3.4406085014343262</v>
      </c>
      <c r="AH2">
        <v>10</v>
      </c>
      <c r="AI2">
        <v>10</v>
      </c>
    </row>
    <row r="3" spans="1:35" x14ac:dyDescent="0.25">
      <c r="A3" t="s">
        <v>24</v>
      </c>
    </row>
    <row r="4" spans="1:35" x14ac:dyDescent="0.25">
      <c r="A4" t="s">
        <v>223</v>
      </c>
      <c r="B4">
        <v>227362350982.01196</v>
      </c>
      <c r="C4" t="s">
        <v>224</v>
      </c>
      <c r="E4">
        <v>26.5</v>
      </c>
      <c r="F4">
        <v>37.1</v>
      </c>
      <c r="H4">
        <v>2.7699999809265137</v>
      </c>
      <c r="I4">
        <v>2.3825058937072754</v>
      </c>
      <c r="J4">
        <v>0.45283019542694092</v>
      </c>
      <c r="K4" t="s">
        <v>494</v>
      </c>
      <c r="M4">
        <v>5.2676815986633301</v>
      </c>
      <c r="N4">
        <v>2.4774978160858154</v>
      </c>
      <c r="O4">
        <v>4.4002895355224609</v>
      </c>
      <c r="P4">
        <v>1.5</v>
      </c>
      <c r="Q4">
        <v>0</v>
      </c>
      <c r="R4">
        <v>10</v>
      </c>
      <c r="T4">
        <v>0.5</v>
      </c>
      <c r="U4">
        <v>0</v>
      </c>
      <c r="V4">
        <v>0.73076921701431274</v>
      </c>
      <c r="W4">
        <v>0</v>
      </c>
      <c r="X4">
        <v>0</v>
      </c>
      <c r="Y4" t="s">
        <v>86</v>
      </c>
      <c r="Z4" t="s">
        <v>22</v>
      </c>
      <c r="AA4" t="s">
        <v>493</v>
      </c>
      <c r="AB4" t="s">
        <v>22</v>
      </c>
      <c r="AC4" t="s">
        <v>22</v>
      </c>
      <c r="AE4">
        <v>6.0179214477539063</v>
      </c>
      <c r="AF4">
        <v>8.2583255767822266</v>
      </c>
      <c r="AG4">
        <v>3.4406085014343262</v>
      </c>
      <c r="AH4">
        <v>5</v>
      </c>
      <c r="AI4">
        <v>0</v>
      </c>
    </row>
    <row r="5" spans="1:35" x14ac:dyDescent="0.25">
      <c r="A5" t="s">
        <v>228</v>
      </c>
      <c r="B5">
        <v>215645556649.69</v>
      </c>
      <c r="C5" t="s">
        <v>229</v>
      </c>
      <c r="E5">
        <v>96.5</v>
      </c>
      <c r="F5">
        <v>83.5</v>
      </c>
      <c r="H5">
        <v>5.7800002098083496</v>
      </c>
      <c r="I5">
        <v>4.5384869575500488</v>
      </c>
      <c r="J5">
        <v>0.46226415038108826</v>
      </c>
      <c r="K5" t="s">
        <v>495</v>
      </c>
      <c r="M5">
        <v>3.0742025375366211</v>
      </c>
      <c r="N5">
        <v>6.7765254974365234</v>
      </c>
      <c r="O5">
        <v>7.0039844512939453</v>
      </c>
      <c r="P5">
        <v>3</v>
      </c>
      <c r="Q5">
        <v>3</v>
      </c>
      <c r="R5">
        <v>10</v>
      </c>
      <c r="T5">
        <v>0.4482758641242981</v>
      </c>
      <c r="U5">
        <v>0.5</v>
      </c>
      <c r="V5">
        <v>0.73076921701431274</v>
      </c>
      <c r="W5">
        <v>0</v>
      </c>
      <c r="X5">
        <v>0</v>
      </c>
      <c r="Y5" t="s">
        <v>494</v>
      </c>
      <c r="Z5" t="s">
        <v>86</v>
      </c>
      <c r="AA5" t="s">
        <v>493</v>
      </c>
      <c r="AB5" t="s">
        <v>22</v>
      </c>
      <c r="AC5" t="s">
        <v>22</v>
      </c>
      <c r="AE5">
        <v>3.05509352684021</v>
      </c>
      <c r="AF5">
        <v>8.2583255767822266</v>
      </c>
      <c r="AG5">
        <v>7.1666665077209473</v>
      </c>
      <c r="AH5">
        <v>10</v>
      </c>
      <c r="AI5">
        <v>10</v>
      </c>
    </row>
    <row r="6" spans="1:35" x14ac:dyDescent="0.25">
      <c r="A6" t="s">
        <v>230</v>
      </c>
      <c r="B6">
        <v>192447199999.99997</v>
      </c>
      <c r="C6" t="s">
        <v>229</v>
      </c>
      <c r="E6">
        <v>93.5</v>
      </c>
      <c r="F6">
        <v>67.099999999999994</v>
      </c>
      <c r="H6">
        <v>5.6100001335144043</v>
      </c>
      <c r="I6">
        <v>3.7948603630065918</v>
      </c>
      <c r="J6">
        <v>0.35849055647850037</v>
      </c>
      <c r="K6" t="s">
        <v>496</v>
      </c>
      <c r="M6">
        <v>1.8999779224395752</v>
      </c>
      <c r="N6">
        <v>3</v>
      </c>
      <c r="O6">
        <v>8.8669500350952148</v>
      </c>
      <c r="P6">
        <v>3</v>
      </c>
      <c r="Q6">
        <v>3</v>
      </c>
      <c r="R6">
        <v>10</v>
      </c>
      <c r="T6">
        <v>0.32758620381355286</v>
      </c>
      <c r="U6">
        <v>0</v>
      </c>
      <c r="V6">
        <v>0.73076921701431274</v>
      </c>
      <c r="W6">
        <v>0</v>
      </c>
      <c r="X6">
        <v>0</v>
      </c>
      <c r="Y6" t="s">
        <v>497</v>
      </c>
      <c r="Z6" t="s">
        <v>22</v>
      </c>
      <c r="AA6" t="s">
        <v>493</v>
      </c>
      <c r="AB6" t="s">
        <v>22</v>
      </c>
      <c r="AC6" t="s">
        <v>22</v>
      </c>
      <c r="AE6">
        <v>1.9523829221725464</v>
      </c>
      <c r="AF6">
        <v>10</v>
      </c>
      <c r="AG6">
        <v>9.8326921463012695</v>
      </c>
      <c r="AH6">
        <v>10</v>
      </c>
      <c r="AI6">
        <v>10</v>
      </c>
    </row>
    <row r="7" spans="1:35" x14ac:dyDescent="0.25">
      <c r="A7" t="s">
        <v>231</v>
      </c>
      <c r="B7">
        <v>184784899062.95993</v>
      </c>
      <c r="C7" t="s">
        <v>229</v>
      </c>
      <c r="E7">
        <v>90</v>
      </c>
      <c r="F7">
        <v>65.3</v>
      </c>
      <c r="H7">
        <v>5.4200000762939453</v>
      </c>
      <c r="I7">
        <v>3.7661714553833008</v>
      </c>
      <c r="J7">
        <v>0.1320754736661911</v>
      </c>
      <c r="K7" t="s">
        <v>498</v>
      </c>
      <c r="M7">
        <v>4.4357852935791016</v>
      </c>
      <c r="N7">
        <v>7.9494895935058594</v>
      </c>
      <c r="O7">
        <v>0.84982138872146606</v>
      </c>
      <c r="P7">
        <v>3</v>
      </c>
      <c r="Q7">
        <v>3</v>
      </c>
      <c r="R7">
        <v>10</v>
      </c>
      <c r="T7">
        <v>0.17241379618644714</v>
      </c>
      <c r="U7">
        <v>0.5</v>
      </c>
      <c r="V7">
        <v>0</v>
      </c>
      <c r="W7">
        <v>0</v>
      </c>
      <c r="X7">
        <v>0</v>
      </c>
      <c r="Y7" t="s">
        <v>499</v>
      </c>
      <c r="Z7" t="s">
        <v>86</v>
      </c>
      <c r="AA7" t="s">
        <v>22</v>
      </c>
      <c r="AB7" t="s">
        <v>22</v>
      </c>
      <c r="AC7" t="s">
        <v>22</v>
      </c>
      <c r="AE7">
        <v>7.4209141731262207</v>
      </c>
      <c r="AF7">
        <v>10</v>
      </c>
      <c r="AG7">
        <v>2.832737922668457</v>
      </c>
      <c r="AH7">
        <v>10</v>
      </c>
      <c r="AI7">
        <v>10</v>
      </c>
    </row>
    <row r="8" spans="1:35" x14ac:dyDescent="0.25">
      <c r="A8" t="s">
        <v>232</v>
      </c>
      <c r="B8">
        <v>177813005247.50076</v>
      </c>
      <c r="C8" t="s">
        <v>233</v>
      </c>
      <c r="E8">
        <v>85.3</v>
      </c>
      <c r="F8">
        <v>51.2</v>
      </c>
      <c r="H8">
        <v>4.9800000190734863</v>
      </c>
      <c r="I8">
        <v>3.0747983455657959</v>
      </c>
      <c r="J8">
        <v>0.3020833432674408</v>
      </c>
      <c r="K8" t="s">
        <v>500</v>
      </c>
      <c r="M8">
        <v>5.4610857963562012</v>
      </c>
      <c r="N8">
        <v>2.4774978160858154</v>
      </c>
      <c r="O8">
        <v>5.5458879470825195</v>
      </c>
      <c r="P8">
        <v>3</v>
      </c>
      <c r="Q8">
        <v>0</v>
      </c>
      <c r="R8">
        <v>10</v>
      </c>
      <c r="T8">
        <v>0.3958333432674408</v>
      </c>
      <c r="U8">
        <v>0</v>
      </c>
      <c r="V8">
        <v>0.38461539149284363</v>
      </c>
      <c r="W8">
        <v>0</v>
      </c>
      <c r="X8">
        <v>0</v>
      </c>
      <c r="Y8" t="s">
        <v>23</v>
      </c>
      <c r="Z8" t="s">
        <v>22</v>
      </c>
      <c r="AA8" t="s">
        <v>501</v>
      </c>
      <c r="AB8" t="s">
        <v>22</v>
      </c>
      <c r="AC8" t="s">
        <v>22</v>
      </c>
      <c r="AE8">
        <v>7.0239944458007813</v>
      </c>
      <c r="AF8">
        <v>8.2583255767822266</v>
      </c>
      <c r="AG8">
        <v>7.2385826110839844</v>
      </c>
      <c r="AH8">
        <v>10</v>
      </c>
      <c r="AI8">
        <v>0</v>
      </c>
    </row>
    <row r="9" spans="1:35" x14ac:dyDescent="0.25">
      <c r="A9" t="s">
        <v>234</v>
      </c>
      <c r="B9">
        <v>133363475950.75661</v>
      </c>
      <c r="C9" t="s">
        <v>235</v>
      </c>
      <c r="E9">
        <v>57.4</v>
      </c>
      <c r="F9">
        <v>29.4</v>
      </c>
      <c r="H9">
        <v>3.9100000858306885</v>
      </c>
      <c r="I9">
        <v>1.9920748472213745</v>
      </c>
      <c r="J9">
        <v>0</v>
      </c>
      <c r="K9" t="s">
        <v>22</v>
      </c>
      <c r="M9">
        <v>3</v>
      </c>
      <c r="N9">
        <v>3</v>
      </c>
      <c r="O9">
        <v>0.84982138872146606</v>
      </c>
      <c r="P9">
        <v>3</v>
      </c>
      <c r="Q9">
        <v>0</v>
      </c>
      <c r="R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E9">
        <v>10</v>
      </c>
      <c r="AF9">
        <v>10</v>
      </c>
      <c r="AG9">
        <v>2.832737922668457</v>
      </c>
      <c r="AH9">
        <v>10</v>
      </c>
      <c r="AI9">
        <v>0</v>
      </c>
    </row>
    <row r="10" spans="1:35" x14ac:dyDescent="0.25">
      <c r="A10" t="s">
        <v>236</v>
      </c>
      <c r="B10">
        <v>121702395711.74677</v>
      </c>
      <c r="C10" t="s">
        <v>237</v>
      </c>
      <c r="E10" t="s">
        <v>238</v>
      </c>
      <c r="F10" t="s">
        <v>238</v>
      </c>
      <c r="H10" t="s">
        <v>238</v>
      </c>
      <c r="I10" t="s">
        <v>238</v>
      </c>
      <c r="J10" t="s">
        <v>238</v>
      </c>
      <c r="M10" t="s">
        <v>238</v>
      </c>
      <c r="N10" t="s">
        <v>238</v>
      </c>
      <c r="O10" t="s">
        <v>238</v>
      </c>
      <c r="P10" t="s">
        <v>238</v>
      </c>
      <c r="Q10" t="s">
        <v>238</v>
      </c>
      <c r="R10" t="s">
        <v>238</v>
      </c>
      <c r="T10" t="s">
        <v>238</v>
      </c>
      <c r="U10" t="s">
        <v>238</v>
      </c>
      <c r="V10" t="s">
        <v>238</v>
      </c>
      <c r="W10" t="s">
        <v>238</v>
      </c>
      <c r="X10" t="s">
        <v>238</v>
      </c>
      <c r="AE10" t="s">
        <v>238</v>
      </c>
      <c r="AF10" t="s">
        <v>238</v>
      </c>
      <c r="AG10" t="s">
        <v>238</v>
      </c>
      <c r="AH10" t="s">
        <v>238</v>
      </c>
      <c r="AI10" t="s">
        <v>238</v>
      </c>
    </row>
    <row r="11" spans="1:35" x14ac:dyDescent="0.25">
      <c r="A11" t="s">
        <v>239</v>
      </c>
      <c r="B11">
        <v>100487838613.48544</v>
      </c>
      <c r="C11" t="s">
        <v>229</v>
      </c>
      <c r="E11">
        <v>75.599999999999994</v>
      </c>
      <c r="F11">
        <v>84.1</v>
      </c>
      <c r="H11">
        <v>4.5799999237060547</v>
      </c>
      <c r="I11">
        <v>4.6180434226989746</v>
      </c>
      <c r="J11">
        <v>0.30188679695129395</v>
      </c>
      <c r="K11" t="s">
        <v>500</v>
      </c>
      <c r="M11">
        <v>1.9798882007598877</v>
      </c>
      <c r="N11">
        <v>7.9494895935058594</v>
      </c>
      <c r="O11">
        <v>8.8669500350952148</v>
      </c>
      <c r="P11">
        <v>3</v>
      </c>
      <c r="Q11">
        <v>3</v>
      </c>
      <c r="R11">
        <v>0</v>
      </c>
      <c r="T11">
        <v>0.15517240762710571</v>
      </c>
      <c r="U11">
        <v>0.5</v>
      </c>
      <c r="V11">
        <v>0.73076921701431274</v>
      </c>
      <c r="W11">
        <v>0</v>
      </c>
      <c r="X11">
        <v>0</v>
      </c>
      <c r="Y11" t="s">
        <v>502</v>
      </c>
      <c r="Z11" t="s">
        <v>86</v>
      </c>
      <c r="AA11" t="s">
        <v>493</v>
      </c>
      <c r="AB11" t="s">
        <v>22</v>
      </c>
      <c r="AC11" t="s">
        <v>22</v>
      </c>
      <c r="AE11">
        <v>3.2500534057617188</v>
      </c>
      <c r="AF11">
        <v>10</v>
      </c>
      <c r="AG11">
        <v>9.8326921463012695</v>
      </c>
      <c r="AH11">
        <v>10</v>
      </c>
      <c r="AI11">
        <v>10</v>
      </c>
    </row>
    <row r="12" spans="1:35" x14ac:dyDescent="0.25">
      <c r="A12" t="s">
        <v>241</v>
      </c>
      <c r="B12">
        <v>86632570059.98642</v>
      </c>
      <c r="C12" t="s">
        <v>235</v>
      </c>
      <c r="E12">
        <v>99.4</v>
      </c>
      <c r="F12">
        <v>99.4</v>
      </c>
      <c r="H12">
        <v>6.8299999237060547</v>
      </c>
      <c r="I12">
        <v>6.9564433097839355</v>
      </c>
      <c r="J12">
        <v>0.57547169923782349</v>
      </c>
      <c r="K12" t="s">
        <v>284</v>
      </c>
      <c r="M12">
        <v>5.4504170417785645</v>
      </c>
      <c r="N12">
        <v>10</v>
      </c>
      <c r="O12">
        <v>7.0039844512939453</v>
      </c>
      <c r="P12">
        <v>7.3420519828796387</v>
      </c>
      <c r="Q12">
        <v>3</v>
      </c>
      <c r="R12">
        <v>10</v>
      </c>
      <c r="T12">
        <v>0.5</v>
      </c>
      <c r="U12">
        <v>1</v>
      </c>
      <c r="V12">
        <v>0.73076921701431274</v>
      </c>
      <c r="W12">
        <v>0.5</v>
      </c>
      <c r="X12">
        <v>0</v>
      </c>
      <c r="Y12" t="s">
        <v>86</v>
      </c>
      <c r="Z12" t="s">
        <v>31</v>
      </c>
      <c r="AA12" t="s">
        <v>493</v>
      </c>
      <c r="AB12" t="s">
        <v>86</v>
      </c>
      <c r="AC12" t="s">
        <v>22</v>
      </c>
      <c r="AE12">
        <v>6.2892556190490723</v>
      </c>
      <c r="AF12">
        <v>10</v>
      </c>
      <c r="AG12">
        <v>7.1666665077209473</v>
      </c>
      <c r="AH12">
        <v>9.0980472564697266</v>
      </c>
      <c r="AI12">
        <v>10</v>
      </c>
    </row>
    <row r="13" spans="1:35" x14ac:dyDescent="0.25">
      <c r="A13" t="s">
        <v>242</v>
      </c>
      <c r="B13">
        <v>81586942978.115906</v>
      </c>
      <c r="C13" t="s">
        <v>243</v>
      </c>
      <c r="E13">
        <v>52.4</v>
      </c>
      <c r="F13">
        <v>78.2</v>
      </c>
      <c r="H13">
        <v>3.7400000095367432</v>
      </c>
      <c r="I13">
        <v>4.3674211502075195</v>
      </c>
      <c r="J13">
        <v>0.68867921829223633</v>
      </c>
      <c r="K13" t="s">
        <v>406</v>
      </c>
      <c r="M13">
        <v>6.1319961547851563</v>
      </c>
      <c r="N13">
        <v>9.675684928894043</v>
      </c>
      <c r="O13">
        <v>4.4764924049377441</v>
      </c>
      <c r="P13">
        <v>3</v>
      </c>
      <c r="Q13">
        <v>0</v>
      </c>
      <c r="R13">
        <v>10</v>
      </c>
      <c r="T13">
        <v>0.79310345649719238</v>
      </c>
      <c r="U13">
        <v>1</v>
      </c>
      <c r="V13">
        <v>0.73076921701431274</v>
      </c>
      <c r="W13">
        <v>0</v>
      </c>
      <c r="X13">
        <v>0</v>
      </c>
      <c r="Y13" t="s">
        <v>29</v>
      </c>
      <c r="Z13" t="s">
        <v>31</v>
      </c>
      <c r="AA13" t="s">
        <v>493</v>
      </c>
      <c r="AB13" t="s">
        <v>22</v>
      </c>
      <c r="AC13" t="s">
        <v>22</v>
      </c>
      <c r="AE13">
        <v>5.5823688507080078</v>
      </c>
      <c r="AF13">
        <v>9.5405540466308594</v>
      </c>
      <c r="AG13">
        <v>3.5496597290039063</v>
      </c>
      <c r="AH13">
        <v>10</v>
      </c>
      <c r="AI13">
        <v>0</v>
      </c>
    </row>
    <row r="14" spans="1:35" x14ac:dyDescent="0.25">
      <c r="A14" t="s">
        <v>244</v>
      </c>
      <c r="B14">
        <v>74149131170.404984</v>
      </c>
      <c r="C14" t="s">
        <v>224</v>
      </c>
      <c r="E14">
        <v>21.2</v>
      </c>
      <c r="F14">
        <v>27.6</v>
      </c>
      <c r="H14">
        <v>2.559999942779541</v>
      </c>
      <c r="I14">
        <v>1.8425754308700562</v>
      </c>
      <c r="J14">
        <v>0.15094339847564697</v>
      </c>
      <c r="K14" t="s">
        <v>171</v>
      </c>
      <c r="M14">
        <v>4.2344865798950195</v>
      </c>
      <c r="N14">
        <v>4.3916621208190918</v>
      </c>
      <c r="O14">
        <v>0.59242343902587891</v>
      </c>
      <c r="P14">
        <v>1.5</v>
      </c>
      <c r="Q14">
        <v>0</v>
      </c>
      <c r="R14">
        <v>0</v>
      </c>
      <c r="T14">
        <v>0.24137930572032928</v>
      </c>
      <c r="U14">
        <v>0.25</v>
      </c>
      <c r="V14">
        <v>0</v>
      </c>
      <c r="W14">
        <v>0</v>
      </c>
      <c r="X14">
        <v>0</v>
      </c>
      <c r="Y14" t="s">
        <v>503</v>
      </c>
      <c r="Z14" t="s">
        <v>504</v>
      </c>
      <c r="AA14" t="s">
        <v>22</v>
      </c>
      <c r="AB14" t="s">
        <v>22</v>
      </c>
      <c r="AC14" t="s">
        <v>22</v>
      </c>
      <c r="AE14">
        <v>6.3491020202636719</v>
      </c>
      <c r="AF14">
        <v>6.5291666984558105</v>
      </c>
      <c r="AG14">
        <v>1.9747449159622192</v>
      </c>
      <c r="AH14">
        <v>5</v>
      </c>
      <c r="AI14">
        <v>0</v>
      </c>
    </row>
    <row r="15" spans="1:35" x14ac:dyDescent="0.25">
      <c r="A15" t="s">
        <v>245</v>
      </c>
      <c r="B15">
        <v>68582522120.049179</v>
      </c>
      <c r="C15" t="s">
        <v>235</v>
      </c>
      <c r="E15">
        <v>86.8</v>
      </c>
      <c r="F15">
        <v>67.599999999999994</v>
      </c>
      <c r="H15">
        <v>5.0100002288818359</v>
      </c>
      <c r="I15">
        <v>3.8270833492279053</v>
      </c>
      <c r="J15">
        <v>0.4716981053352356</v>
      </c>
      <c r="K15" t="s">
        <v>447</v>
      </c>
      <c r="M15">
        <v>3.8190031051635742</v>
      </c>
      <c r="N15">
        <v>3</v>
      </c>
      <c r="O15">
        <v>7.1055541038513184</v>
      </c>
      <c r="P15">
        <v>3</v>
      </c>
      <c r="Q15">
        <v>3</v>
      </c>
      <c r="R15">
        <v>10</v>
      </c>
      <c r="T15">
        <v>0.53448277711868286</v>
      </c>
      <c r="U15">
        <v>0</v>
      </c>
      <c r="V15">
        <v>0.73076921701431274</v>
      </c>
      <c r="W15">
        <v>0</v>
      </c>
      <c r="X15">
        <v>0</v>
      </c>
      <c r="Y15" t="s">
        <v>505</v>
      </c>
      <c r="Z15" t="s">
        <v>22</v>
      </c>
      <c r="AA15" t="s">
        <v>493</v>
      </c>
      <c r="AB15" t="s">
        <v>22</v>
      </c>
      <c r="AC15" t="s">
        <v>22</v>
      </c>
      <c r="AE15">
        <v>3.6678421497344971</v>
      </c>
      <c r="AF15">
        <v>10</v>
      </c>
      <c r="AG15">
        <v>7.3120193481445313</v>
      </c>
      <c r="AH15">
        <v>10</v>
      </c>
      <c r="AI15">
        <v>10</v>
      </c>
    </row>
    <row r="16" spans="1:35" x14ac:dyDescent="0.25">
      <c r="A16" t="s">
        <v>246</v>
      </c>
      <c r="B16">
        <v>65492340580.822258</v>
      </c>
      <c r="C16" t="s">
        <v>235</v>
      </c>
      <c r="E16">
        <v>74.400000000000006</v>
      </c>
      <c r="F16">
        <v>48.2</v>
      </c>
      <c r="H16">
        <v>4.570000171661377</v>
      </c>
      <c r="I16">
        <v>2.917271614074707</v>
      </c>
      <c r="J16">
        <v>0.29245284199714661</v>
      </c>
      <c r="K16" t="s">
        <v>21</v>
      </c>
      <c r="M16">
        <v>5.0263748168945313</v>
      </c>
      <c r="N16">
        <v>3</v>
      </c>
      <c r="O16">
        <v>1.85871422290802</v>
      </c>
      <c r="P16">
        <v>3</v>
      </c>
      <c r="Q16">
        <v>3</v>
      </c>
      <c r="R16">
        <v>0</v>
      </c>
      <c r="T16">
        <v>0.53448277711868286</v>
      </c>
      <c r="U16">
        <v>0</v>
      </c>
      <c r="V16">
        <v>0</v>
      </c>
      <c r="W16">
        <v>0</v>
      </c>
      <c r="X16">
        <v>0</v>
      </c>
      <c r="Y16" t="s">
        <v>505</v>
      </c>
      <c r="Z16" t="s">
        <v>22</v>
      </c>
      <c r="AA16" t="s">
        <v>22</v>
      </c>
      <c r="AB16" t="s">
        <v>22</v>
      </c>
      <c r="AC16" t="s">
        <v>22</v>
      </c>
      <c r="AE16">
        <v>5.4464578628540039</v>
      </c>
      <c r="AF16">
        <v>10</v>
      </c>
      <c r="AG16">
        <v>6.195713996887207</v>
      </c>
      <c r="AH16">
        <v>10</v>
      </c>
      <c r="AI16">
        <v>10</v>
      </c>
    </row>
    <row r="17" spans="1:35" x14ac:dyDescent="0.25">
      <c r="A17" t="s">
        <v>247</v>
      </c>
      <c r="B17">
        <v>63042507994.707092</v>
      </c>
      <c r="C17" t="s">
        <v>248</v>
      </c>
      <c r="E17">
        <v>94.7</v>
      </c>
      <c r="F17">
        <v>91.8</v>
      </c>
      <c r="H17">
        <v>5.7199997901916504</v>
      </c>
      <c r="I17">
        <v>5.1609129905700684</v>
      </c>
      <c r="J17">
        <v>0.4716981053352356</v>
      </c>
      <c r="K17" t="s">
        <v>447</v>
      </c>
      <c r="M17">
        <v>4.008448600769043</v>
      </c>
      <c r="N17">
        <v>6.3075604438781738</v>
      </c>
      <c r="O17">
        <v>5.1512889862060547</v>
      </c>
      <c r="P17">
        <v>3</v>
      </c>
      <c r="Q17">
        <v>10</v>
      </c>
      <c r="R17">
        <v>10</v>
      </c>
      <c r="T17">
        <v>0.36206895112991333</v>
      </c>
      <c r="U17">
        <v>0.75</v>
      </c>
      <c r="V17">
        <v>0.73076921701431274</v>
      </c>
      <c r="W17">
        <v>0</v>
      </c>
      <c r="X17">
        <v>1</v>
      </c>
      <c r="Y17" t="s">
        <v>496</v>
      </c>
      <c r="Z17" t="s">
        <v>446</v>
      </c>
      <c r="AA17" t="s">
        <v>493</v>
      </c>
      <c r="AB17" t="s">
        <v>22</v>
      </c>
      <c r="AC17" t="s">
        <v>31</v>
      </c>
      <c r="AE17">
        <v>5.0281291007995605</v>
      </c>
      <c r="AF17">
        <v>6.0647006034851074</v>
      </c>
      <c r="AG17">
        <v>4.5153379440307617</v>
      </c>
      <c r="AH17">
        <v>10</v>
      </c>
      <c r="AI17">
        <v>10</v>
      </c>
    </row>
    <row r="18" spans="1:35" x14ac:dyDescent="0.25">
      <c r="A18" t="s">
        <v>249</v>
      </c>
      <c r="B18">
        <v>56812427016.197304</v>
      </c>
      <c r="C18" t="s">
        <v>219</v>
      </c>
      <c r="E18">
        <v>69.400000000000006</v>
      </c>
      <c r="F18">
        <v>85.3</v>
      </c>
      <c r="H18">
        <v>4.3400001525878906</v>
      </c>
      <c r="I18">
        <v>4.7161746025085449</v>
      </c>
      <c r="J18">
        <v>0.43396225571632385</v>
      </c>
      <c r="K18" t="s">
        <v>506</v>
      </c>
      <c r="M18">
        <v>3.6116979122161865</v>
      </c>
      <c r="N18">
        <v>9.675684928894043</v>
      </c>
      <c r="O18">
        <v>4.4002895355224609</v>
      </c>
      <c r="P18">
        <v>3</v>
      </c>
      <c r="Q18">
        <v>3</v>
      </c>
      <c r="R18">
        <v>10</v>
      </c>
      <c r="T18">
        <v>0.32758620381355286</v>
      </c>
      <c r="U18">
        <v>1</v>
      </c>
      <c r="V18">
        <v>0.73076921701431274</v>
      </c>
      <c r="W18">
        <v>0</v>
      </c>
      <c r="X18">
        <v>0</v>
      </c>
      <c r="Y18" t="s">
        <v>497</v>
      </c>
      <c r="Z18" t="s">
        <v>31</v>
      </c>
      <c r="AA18" t="s">
        <v>493</v>
      </c>
      <c r="AB18" t="s">
        <v>22</v>
      </c>
      <c r="AC18" t="s">
        <v>22</v>
      </c>
      <c r="AE18">
        <v>4.6500358581542969</v>
      </c>
      <c r="AF18">
        <v>9.5405540466308594</v>
      </c>
      <c r="AG18">
        <v>3.4406085014343262</v>
      </c>
      <c r="AH18">
        <v>10</v>
      </c>
      <c r="AI18">
        <v>10</v>
      </c>
    </row>
    <row r="19" spans="1:35" x14ac:dyDescent="0.25">
      <c r="A19" t="s">
        <v>250</v>
      </c>
      <c r="B19">
        <v>55782787906.27919</v>
      </c>
      <c r="C19" t="s">
        <v>251</v>
      </c>
      <c r="E19">
        <v>90.6</v>
      </c>
      <c r="F19">
        <v>78.8</v>
      </c>
      <c r="H19">
        <v>5.4499998092651367</v>
      </c>
      <c r="I19">
        <v>4.3725628852844238</v>
      </c>
      <c r="J19">
        <v>0.59375</v>
      </c>
      <c r="K19" t="s">
        <v>43</v>
      </c>
      <c r="M19">
        <v>5.6254310607910156</v>
      </c>
      <c r="N19">
        <v>7.6400671005249023</v>
      </c>
      <c r="O19">
        <v>7.1055541038513184</v>
      </c>
      <c r="P19">
        <v>3</v>
      </c>
      <c r="Q19">
        <v>0</v>
      </c>
      <c r="R19">
        <v>10</v>
      </c>
      <c r="T19">
        <v>0.70833331346511841</v>
      </c>
      <c r="U19">
        <v>0.5</v>
      </c>
      <c r="V19">
        <v>0.73076921701431274</v>
      </c>
      <c r="W19">
        <v>0</v>
      </c>
      <c r="X19">
        <v>0</v>
      </c>
      <c r="Y19" t="s">
        <v>382</v>
      </c>
      <c r="Z19" t="s">
        <v>86</v>
      </c>
      <c r="AA19" t="s">
        <v>493</v>
      </c>
      <c r="AB19" t="s">
        <v>22</v>
      </c>
      <c r="AC19" t="s">
        <v>22</v>
      </c>
      <c r="AE19">
        <v>5.3161754608154297</v>
      </c>
      <c r="AF19">
        <v>9.5405540466308594</v>
      </c>
      <c r="AG19">
        <v>7.3120193481445313</v>
      </c>
      <c r="AH19">
        <v>10</v>
      </c>
      <c r="AI19">
        <v>0</v>
      </c>
    </row>
    <row r="20" spans="1:35" x14ac:dyDescent="0.25">
      <c r="A20" t="s">
        <v>252</v>
      </c>
      <c r="B20">
        <v>46643449415.780388</v>
      </c>
      <c r="C20" t="s">
        <v>253</v>
      </c>
      <c r="E20">
        <v>39.1</v>
      </c>
      <c r="F20">
        <v>47.6</v>
      </c>
      <c r="H20">
        <v>3.2100000381469727</v>
      </c>
      <c r="I20">
        <v>2.8982226848602295</v>
      </c>
      <c r="J20">
        <v>0.40566039085388184</v>
      </c>
      <c r="K20" t="s">
        <v>491</v>
      </c>
      <c r="M20">
        <v>3.9493145942687988</v>
      </c>
      <c r="N20">
        <v>3</v>
      </c>
      <c r="O20">
        <v>4.4764924049377441</v>
      </c>
      <c r="P20">
        <v>3</v>
      </c>
      <c r="Q20">
        <v>0</v>
      </c>
      <c r="R20">
        <v>10</v>
      </c>
      <c r="T20">
        <v>0.41379311680793762</v>
      </c>
      <c r="U20">
        <v>0</v>
      </c>
      <c r="V20">
        <v>0.73076921701431274</v>
      </c>
      <c r="W20">
        <v>0</v>
      </c>
      <c r="X20">
        <v>0</v>
      </c>
      <c r="Y20" t="s">
        <v>491</v>
      </c>
      <c r="Z20" t="s">
        <v>22</v>
      </c>
      <c r="AA20" t="s">
        <v>493</v>
      </c>
      <c r="AB20" t="s">
        <v>22</v>
      </c>
      <c r="AC20" t="s">
        <v>22</v>
      </c>
      <c r="AE20">
        <v>4.5908112525939941</v>
      </c>
      <c r="AF20">
        <v>10</v>
      </c>
      <c r="AG20">
        <v>3.5496597290039063</v>
      </c>
      <c r="AH20">
        <v>10</v>
      </c>
      <c r="AI20">
        <v>0</v>
      </c>
    </row>
    <row r="21" spans="1:35" x14ac:dyDescent="0.25">
      <c r="A21" t="s">
        <v>256</v>
      </c>
      <c r="B21">
        <v>44307304427.993782</v>
      </c>
      <c r="C21" t="s">
        <v>257</v>
      </c>
      <c r="E21">
        <v>91.2</v>
      </c>
      <c r="F21">
        <v>85.9</v>
      </c>
      <c r="H21">
        <v>5.4899997711181641</v>
      </c>
      <c r="I21">
        <v>4.7195329666137695</v>
      </c>
      <c r="J21">
        <v>0.43396225571632385</v>
      </c>
      <c r="K21" t="s">
        <v>506</v>
      </c>
      <c r="M21">
        <v>3.978410005569458</v>
      </c>
      <c r="N21">
        <v>3.478351354598999</v>
      </c>
      <c r="O21">
        <v>8.1260776519775391</v>
      </c>
      <c r="P21">
        <v>3</v>
      </c>
      <c r="Q21">
        <v>10</v>
      </c>
      <c r="R21">
        <v>0</v>
      </c>
      <c r="T21">
        <v>0.32758620381355286</v>
      </c>
      <c r="U21">
        <v>0.5</v>
      </c>
      <c r="V21">
        <v>0.73076921701431274</v>
      </c>
      <c r="W21">
        <v>0</v>
      </c>
      <c r="X21">
        <v>1</v>
      </c>
      <c r="Y21" t="s">
        <v>497</v>
      </c>
      <c r="Z21" t="s">
        <v>86</v>
      </c>
      <c r="AA21" t="s">
        <v>493</v>
      </c>
      <c r="AB21" t="s">
        <v>22</v>
      </c>
      <c r="AC21" t="s">
        <v>31</v>
      </c>
      <c r="AE21">
        <v>5.2279706001281738</v>
      </c>
      <c r="AF21">
        <v>3.3610367774963379</v>
      </c>
      <c r="AG21">
        <v>8.772456169128418</v>
      </c>
      <c r="AH21">
        <v>10</v>
      </c>
      <c r="AI21">
        <v>10</v>
      </c>
    </row>
    <row r="22" spans="1:35" x14ac:dyDescent="0.25">
      <c r="A22" t="s">
        <v>259</v>
      </c>
      <c r="B22">
        <v>43051858698.449982</v>
      </c>
      <c r="C22" t="s">
        <v>260</v>
      </c>
      <c r="E22">
        <v>70.900000000000006</v>
      </c>
      <c r="F22">
        <v>36.5</v>
      </c>
      <c r="H22">
        <v>4.3600001335144043</v>
      </c>
      <c r="I22">
        <v>2.3782615661621094</v>
      </c>
      <c r="J22">
        <v>0.33962264657020569</v>
      </c>
      <c r="K22" t="s">
        <v>507</v>
      </c>
      <c r="M22">
        <v>4.5282707214355469</v>
      </c>
      <c r="N22">
        <v>3</v>
      </c>
      <c r="O22">
        <v>1.1420227289199829</v>
      </c>
      <c r="P22">
        <v>3</v>
      </c>
      <c r="Q22">
        <v>0</v>
      </c>
      <c r="R22">
        <v>10</v>
      </c>
      <c r="T22">
        <v>0.53448277711868286</v>
      </c>
      <c r="U22">
        <v>0</v>
      </c>
      <c r="V22">
        <v>0.19230769574642181</v>
      </c>
      <c r="W22">
        <v>0</v>
      </c>
      <c r="X22">
        <v>0</v>
      </c>
      <c r="Y22" t="s">
        <v>505</v>
      </c>
      <c r="Z22" t="s">
        <v>22</v>
      </c>
      <c r="AA22" t="s">
        <v>508</v>
      </c>
      <c r="AB22" t="s">
        <v>22</v>
      </c>
      <c r="AC22" t="s">
        <v>22</v>
      </c>
      <c r="AE22">
        <v>4.7126855850219727</v>
      </c>
      <c r="AF22">
        <v>10</v>
      </c>
      <c r="AG22">
        <v>1.5160675048828125</v>
      </c>
      <c r="AH22">
        <v>10</v>
      </c>
      <c r="AI22">
        <v>0</v>
      </c>
    </row>
    <row r="23" spans="1:35" x14ac:dyDescent="0.25">
      <c r="A23" t="s">
        <v>261</v>
      </c>
      <c r="B23">
        <v>36474436990.741898</v>
      </c>
      <c r="C23" t="s">
        <v>262</v>
      </c>
      <c r="E23">
        <v>84.7</v>
      </c>
      <c r="F23">
        <v>48.8</v>
      </c>
      <c r="H23">
        <v>4.9699997901916504</v>
      </c>
      <c r="I23">
        <v>2.9313271045684814</v>
      </c>
      <c r="J23">
        <v>0.31132075190544128</v>
      </c>
      <c r="K23" t="s">
        <v>509</v>
      </c>
      <c r="M23">
        <v>5.5235834121704102</v>
      </c>
      <c r="N23">
        <v>3</v>
      </c>
      <c r="O23">
        <v>0.84982138872146606</v>
      </c>
      <c r="P23">
        <v>3</v>
      </c>
      <c r="Q23">
        <v>3</v>
      </c>
      <c r="R23">
        <v>10</v>
      </c>
      <c r="T23">
        <v>0.56896549463272095</v>
      </c>
      <c r="U23">
        <v>0</v>
      </c>
      <c r="V23">
        <v>0</v>
      </c>
      <c r="W23">
        <v>0</v>
      </c>
      <c r="X23">
        <v>0</v>
      </c>
      <c r="Y23" t="s">
        <v>266</v>
      </c>
      <c r="Z23" t="s">
        <v>22</v>
      </c>
      <c r="AA23" t="s">
        <v>22</v>
      </c>
      <c r="AB23" t="s">
        <v>22</v>
      </c>
      <c r="AC23" t="s">
        <v>22</v>
      </c>
      <c r="AE23">
        <v>5.9675002098083496</v>
      </c>
      <c r="AF23">
        <v>10</v>
      </c>
      <c r="AG23">
        <v>2.832737922668457</v>
      </c>
      <c r="AH23">
        <v>10</v>
      </c>
      <c r="AI23">
        <v>10</v>
      </c>
    </row>
    <row r="24" spans="1:35" x14ac:dyDescent="0.25">
      <c r="A24" t="s">
        <v>263</v>
      </c>
      <c r="B24">
        <v>34496922671.399994</v>
      </c>
      <c r="C24" t="s">
        <v>229</v>
      </c>
      <c r="E24">
        <v>55.9</v>
      </c>
      <c r="F24">
        <v>41.8</v>
      </c>
      <c r="H24">
        <v>3.8900001049041748</v>
      </c>
      <c r="I24">
        <v>2.5820181369781494</v>
      </c>
      <c r="J24">
        <v>0</v>
      </c>
      <c r="K24" t="s">
        <v>22</v>
      </c>
      <c r="M24">
        <v>0.59242343902587891</v>
      </c>
      <c r="N24">
        <v>2.4774978160858154</v>
      </c>
      <c r="O24">
        <v>2.6129310131072998</v>
      </c>
      <c r="P24">
        <v>3</v>
      </c>
      <c r="Q24">
        <v>3</v>
      </c>
      <c r="R24">
        <v>10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22</v>
      </c>
      <c r="Z24" t="s">
        <v>22</v>
      </c>
      <c r="AA24" t="s">
        <v>22</v>
      </c>
      <c r="AB24" t="s">
        <v>22</v>
      </c>
      <c r="AC24" t="s">
        <v>22</v>
      </c>
      <c r="AE24">
        <v>1.9747449159622192</v>
      </c>
      <c r="AF24">
        <v>8.2583255767822266</v>
      </c>
      <c r="AG24">
        <v>8.7097702026367188</v>
      </c>
      <c r="AH24">
        <v>10</v>
      </c>
      <c r="AI24">
        <v>10</v>
      </c>
    </row>
    <row r="25" spans="1:35" x14ac:dyDescent="0.25">
      <c r="A25" t="s">
        <v>264</v>
      </c>
      <c r="B25">
        <v>33466775894.013393</v>
      </c>
      <c r="C25" t="s">
        <v>265</v>
      </c>
      <c r="E25">
        <v>67.400000000000006</v>
      </c>
      <c r="F25">
        <v>76.5</v>
      </c>
      <c r="H25">
        <v>4.2699999809265137</v>
      </c>
      <c r="I25">
        <v>4.333167552947998</v>
      </c>
      <c r="J25">
        <v>0.59433960914611816</v>
      </c>
      <c r="K25" t="s">
        <v>43</v>
      </c>
      <c r="M25">
        <v>5.3125653266906738</v>
      </c>
      <c r="N25">
        <v>10</v>
      </c>
      <c r="O25">
        <v>4.4764924049377441</v>
      </c>
      <c r="P25">
        <v>3</v>
      </c>
      <c r="Q25">
        <v>0</v>
      </c>
      <c r="R25">
        <v>10</v>
      </c>
      <c r="T25">
        <v>0.62068963050842285</v>
      </c>
      <c r="U25">
        <v>1</v>
      </c>
      <c r="V25">
        <v>0.73076921701431274</v>
      </c>
      <c r="W25">
        <v>0</v>
      </c>
      <c r="X25">
        <v>0</v>
      </c>
      <c r="Y25" t="s">
        <v>510</v>
      </c>
      <c r="Z25" t="s">
        <v>31</v>
      </c>
      <c r="AA25" t="s">
        <v>493</v>
      </c>
      <c r="AB25" t="s">
        <v>22</v>
      </c>
      <c r="AC25" t="s">
        <v>22</v>
      </c>
      <c r="AE25">
        <v>5.3562636375427246</v>
      </c>
      <c r="AF25">
        <v>10</v>
      </c>
      <c r="AG25">
        <v>3.5496597290039063</v>
      </c>
      <c r="AH25">
        <v>10</v>
      </c>
      <c r="AI25">
        <v>0</v>
      </c>
    </row>
    <row r="26" spans="1:35" x14ac:dyDescent="0.25">
      <c r="A26" t="s">
        <v>267</v>
      </c>
      <c r="B26">
        <v>32815743286.644356</v>
      </c>
      <c r="C26" t="s">
        <v>268</v>
      </c>
      <c r="E26">
        <v>92.4</v>
      </c>
      <c r="F26">
        <v>95.3</v>
      </c>
      <c r="H26">
        <v>5.559999942779541</v>
      </c>
      <c r="I26">
        <v>5.8732686042785645</v>
      </c>
      <c r="J26">
        <v>0.50943398475646973</v>
      </c>
      <c r="K26" t="s">
        <v>511</v>
      </c>
      <c r="M26">
        <v>4.8248586654663086</v>
      </c>
      <c r="N26">
        <v>10</v>
      </c>
      <c r="O26">
        <v>4.5524163246154785</v>
      </c>
      <c r="P26">
        <v>3</v>
      </c>
      <c r="Q26">
        <v>10</v>
      </c>
      <c r="R26">
        <v>10</v>
      </c>
      <c r="T26">
        <v>0.39655172824859619</v>
      </c>
      <c r="U26">
        <v>1</v>
      </c>
      <c r="V26">
        <v>0.73076921701431274</v>
      </c>
      <c r="W26">
        <v>0</v>
      </c>
      <c r="X26">
        <v>1</v>
      </c>
      <c r="Y26" t="s">
        <v>23</v>
      </c>
      <c r="Z26" t="s">
        <v>31</v>
      </c>
      <c r="AA26" t="s">
        <v>493</v>
      </c>
      <c r="AB26" t="s">
        <v>22</v>
      </c>
      <c r="AC26" t="s">
        <v>31</v>
      </c>
      <c r="AE26">
        <v>6.0442485809326172</v>
      </c>
      <c r="AF26">
        <v>10</v>
      </c>
      <c r="AG26">
        <v>3.6583123207092285</v>
      </c>
      <c r="AH26">
        <v>10</v>
      </c>
      <c r="AI26">
        <v>10</v>
      </c>
    </row>
    <row r="27" spans="1:35" x14ac:dyDescent="0.25">
      <c r="A27" t="s">
        <v>269</v>
      </c>
      <c r="B27">
        <v>28841060444.400597</v>
      </c>
      <c r="C27" t="s">
        <v>262</v>
      </c>
      <c r="E27">
        <v>97.6</v>
      </c>
      <c r="F27">
        <v>70</v>
      </c>
      <c r="H27">
        <v>6.1100001335144043</v>
      </c>
      <c r="I27">
        <v>4.029268741607666</v>
      </c>
      <c r="J27">
        <v>0.49056604504585266</v>
      </c>
      <c r="K27" t="s">
        <v>512</v>
      </c>
      <c r="M27">
        <v>4.2029190063476563</v>
      </c>
      <c r="N27">
        <v>6.7765254974365234</v>
      </c>
      <c r="O27">
        <v>6.9017324447631836</v>
      </c>
      <c r="P27">
        <v>3</v>
      </c>
      <c r="Q27">
        <v>0</v>
      </c>
      <c r="R27">
        <v>10</v>
      </c>
      <c r="T27">
        <v>0.5</v>
      </c>
      <c r="U27">
        <v>0.5</v>
      </c>
      <c r="V27">
        <v>0.73076921701431274</v>
      </c>
      <c r="W27">
        <v>0</v>
      </c>
      <c r="X27">
        <v>0</v>
      </c>
      <c r="Y27" t="s">
        <v>86</v>
      </c>
      <c r="Z27" t="s">
        <v>86</v>
      </c>
      <c r="AA27" t="s">
        <v>493</v>
      </c>
      <c r="AB27" t="s">
        <v>22</v>
      </c>
      <c r="AC27" t="s">
        <v>22</v>
      </c>
      <c r="AE27">
        <v>4.4369101524353027</v>
      </c>
      <c r="AF27">
        <v>8.2583255767822266</v>
      </c>
      <c r="AG27">
        <v>7.0203371047973633</v>
      </c>
      <c r="AH27">
        <v>10</v>
      </c>
      <c r="AI27">
        <v>0</v>
      </c>
    </row>
    <row r="28" spans="1:35" x14ac:dyDescent="0.25">
      <c r="A28" t="s">
        <v>270</v>
      </c>
      <c r="B28">
        <v>28283488132.430862</v>
      </c>
      <c r="C28" t="s">
        <v>224</v>
      </c>
      <c r="E28">
        <v>28.2</v>
      </c>
      <c r="F28">
        <v>44.1</v>
      </c>
      <c r="H28">
        <v>2.880000114440918</v>
      </c>
      <c r="I28">
        <v>2.7507069110870361</v>
      </c>
      <c r="J28">
        <v>0.34905660152435303</v>
      </c>
      <c r="K28" t="s">
        <v>513</v>
      </c>
      <c r="M28">
        <v>4.9392461776733398</v>
      </c>
      <c r="N28">
        <v>9.675684928894043</v>
      </c>
      <c r="O28">
        <v>0.84982138872146606</v>
      </c>
      <c r="P28">
        <v>1.5</v>
      </c>
      <c r="Q28">
        <v>0</v>
      </c>
      <c r="R28">
        <v>0</v>
      </c>
      <c r="T28">
        <v>0.5</v>
      </c>
      <c r="U28">
        <v>1</v>
      </c>
      <c r="V28">
        <v>0</v>
      </c>
      <c r="W28">
        <v>0</v>
      </c>
      <c r="X28">
        <v>0</v>
      </c>
      <c r="Y28" t="s">
        <v>86</v>
      </c>
      <c r="Z28" t="s">
        <v>31</v>
      </c>
      <c r="AA28" t="s">
        <v>22</v>
      </c>
      <c r="AB28" t="s">
        <v>22</v>
      </c>
      <c r="AC28" t="s">
        <v>22</v>
      </c>
      <c r="AE28">
        <v>5.5302443504333496</v>
      </c>
      <c r="AF28">
        <v>9.5405540466308594</v>
      </c>
      <c r="AG28">
        <v>2.832737922668457</v>
      </c>
      <c r="AH28">
        <v>5</v>
      </c>
      <c r="AI28">
        <v>0</v>
      </c>
    </row>
    <row r="29" spans="1:35" x14ac:dyDescent="0.25">
      <c r="A29" t="s">
        <v>271</v>
      </c>
      <c r="B29">
        <v>27367785983.348412</v>
      </c>
      <c r="C29" t="s">
        <v>272</v>
      </c>
      <c r="E29">
        <v>100</v>
      </c>
      <c r="F29">
        <v>100</v>
      </c>
      <c r="H29">
        <v>7.2300000190734863</v>
      </c>
      <c r="I29">
        <v>7.1410841941833496</v>
      </c>
      <c r="J29">
        <v>0.83018869161605835</v>
      </c>
      <c r="K29" t="s">
        <v>355</v>
      </c>
      <c r="M29">
        <v>7.0598092079162598</v>
      </c>
      <c r="N29">
        <v>9.675684928894043</v>
      </c>
      <c r="O29">
        <v>6.6582918167114258</v>
      </c>
      <c r="P29">
        <v>7.6901106834411621</v>
      </c>
      <c r="Q29">
        <v>3</v>
      </c>
      <c r="R29">
        <v>10</v>
      </c>
      <c r="T29">
        <v>0.91379308700561523</v>
      </c>
      <c r="U29">
        <v>1</v>
      </c>
      <c r="V29">
        <v>0.6538461446762085</v>
      </c>
      <c r="W29">
        <v>1</v>
      </c>
      <c r="X29">
        <v>0</v>
      </c>
      <c r="Y29" t="s">
        <v>227</v>
      </c>
      <c r="Z29" t="s">
        <v>31</v>
      </c>
      <c r="AA29" t="s">
        <v>56</v>
      </c>
      <c r="AB29" t="s">
        <v>31</v>
      </c>
      <c r="AC29" t="s">
        <v>22</v>
      </c>
      <c r="AE29">
        <v>6.2703151702880859</v>
      </c>
      <c r="AF29">
        <v>9.5405540466308594</v>
      </c>
      <c r="AG29">
        <v>7.110504150390625</v>
      </c>
      <c r="AH29">
        <v>6.727656364440918</v>
      </c>
      <c r="AI29">
        <v>10</v>
      </c>
    </row>
    <row r="30" spans="1:35" x14ac:dyDescent="0.25">
      <c r="A30" t="s">
        <v>273</v>
      </c>
      <c r="B30">
        <v>25464297117.260891</v>
      </c>
      <c r="C30" t="s">
        <v>274</v>
      </c>
      <c r="E30">
        <v>98.2</v>
      </c>
      <c r="F30">
        <v>96.5</v>
      </c>
      <c r="H30">
        <v>6.119999885559082</v>
      </c>
      <c r="I30">
        <v>5.9560832977294922</v>
      </c>
      <c r="J30">
        <v>0.58490568399429321</v>
      </c>
      <c r="K30" t="s">
        <v>284</v>
      </c>
      <c r="M30">
        <v>5.1202788352966309</v>
      </c>
      <c r="N30">
        <v>7.9494895935058594</v>
      </c>
      <c r="O30">
        <v>7.1055541038513184</v>
      </c>
      <c r="P30">
        <v>5.5706367492675781</v>
      </c>
      <c r="Q30">
        <v>3</v>
      </c>
      <c r="R30">
        <v>10</v>
      </c>
      <c r="T30">
        <v>0.58620691299438477</v>
      </c>
      <c r="U30">
        <v>0.5</v>
      </c>
      <c r="V30">
        <v>0.73076921701431274</v>
      </c>
      <c r="W30">
        <v>0.5</v>
      </c>
      <c r="X30">
        <v>0</v>
      </c>
      <c r="Y30" t="s">
        <v>43</v>
      </c>
      <c r="Z30" t="s">
        <v>86</v>
      </c>
      <c r="AA30" t="s">
        <v>493</v>
      </c>
      <c r="AB30" t="s">
        <v>86</v>
      </c>
      <c r="AC30" t="s">
        <v>22</v>
      </c>
      <c r="AE30">
        <v>5.2761616706848145</v>
      </c>
      <c r="AF30">
        <v>10</v>
      </c>
      <c r="AG30">
        <v>7.3120193481445313</v>
      </c>
      <c r="AH30">
        <v>6.4677634239196777</v>
      </c>
      <c r="AI30">
        <v>10</v>
      </c>
    </row>
    <row r="31" spans="1:35" x14ac:dyDescent="0.25">
      <c r="A31" t="s">
        <v>275</v>
      </c>
      <c r="B31">
        <v>24288963066.588158</v>
      </c>
      <c r="C31" t="s">
        <v>276</v>
      </c>
      <c r="E31">
        <v>68.8</v>
      </c>
      <c r="F31">
        <v>56.5</v>
      </c>
      <c r="H31">
        <v>4.3299999237060547</v>
      </c>
      <c r="I31">
        <v>3.2438137531280518</v>
      </c>
      <c r="J31">
        <v>0.36792454123497009</v>
      </c>
      <c r="K31" t="s">
        <v>514</v>
      </c>
      <c r="M31">
        <v>2.910693883895874</v>
      </c>
      <c r="N31">
        <v>10</v>
      </c>
      <c r="O31">
        <v>4.4002895355224609</v>
      </c>
      <c r="P31">
        <v>1.5</v>
      </c>
      <c r="Q31">
        <v>0</v>
      </c>
      <c r="R31">
        <v>0</v>
      </c>
      <c r="T31">
        <v>0.20689655840396881</v>
      </c>
      <c r="U31">
        <v>1</v>
      </c>
      <c r="V31">
        <v>0.73076921701431274</v>
      </c>
      <c r="W31">
        <v>0</v>
      </c>
      <c r="X31">
        <v>0</v>
      </c>
      <c r="Y31" t="s">
        <v>515</v>
      </c>
      <c r="Z31" t="s">
        <v>31</v>
      </c>
      <c r="AA31" t="s">
        <v>493</v>
      </c>
      <c r="AB31" t="s">
        <v>22</v>
      </c>
      <c r="AC31" t="s">
        <v>22</v>
      </c>
      <c r="AE31">
        <v>4.4350967407226563</v>
      </c>
      <c r="AF31">
        <v>10</v>
      </c>
      <c r="AG31">
        <v>3.4406085014343262</v>
      </c>
      <c r="AH31">
        <v>5</v>
      </c>
      <c r="AI31">
        <v>0</v>
      </c>
    </row>
    <row r="32" spans="1:35" x14ac:dyDescent="0.25">
      <c r="A32" t="s">
        <v>277</v>
      </c>
      <c r="B32">
        <v>22598319953.219612</v>
      </c>
      <c r="C32" t="s">
        <v>278</v>
      </c>
      <c r="E32">
        <v>61.2</v>
      </c>
      <c r="F32">
        <v>46.5</v>
      </c>
      <c r="H32">
        <v>4.0100002288818359</v>
      </c>
      <c r="I32">
        <v>2.8130662441253662</v>
      </c>
      <c r="J32">
        <v>0.33962264657020569</v>
      </c>
      <c r="K32" t="s">
        <v>507</v>
      </c>
      <c r="M32">
        <v>6.3166265487670898</v>
      </c>
      <c r="N32">
        <v>2.4774978160858154</v>
      </c>
      <c r="O32">
        <v>0.59242343902587891</v>
      </c>
      <c r="P32">
        <v>3</v>
      </c>
      <c r="Q32">
        <v>3</v>
      </c>
      <c r="R32">
        <v>10</v>
      </c>
      <c r="T32">
        <v>0.62068963050842285</v>
      </c>
      <c r="U32">
        <v>0</v>
      </c>
      <c r="V32">
        <v>0</v>
      </c>
      <c r="W32">
        <v>0</v>
      </c>
      <c r="X32">
        <v>0</v>
      </c>
      <c r="Y32" t="s">
        <v>510</v>
      </c>
      <c r="Z32" t="s">
        <v>22</v>
      </c>
      <c r="AA32" t="s">
        <v>22</v>
      </c>
      <c r="AB32" t="s">
        <v>22</v>
      </c>
      <c r="AC32" t="s">
        <v>22</v>
      </c>
      <c r="AE32">
        <v>6.8123583793640137</v>
      </c>
      <c r="AF32">
        <v>8.2583255767822266</v>
      </c>
      <c r="AG32">
        <v>1.9747449159622192</v>
      </c>
      <c r="AH32">
        <v>10</v>
      </c>
      <c r="AI32">
        <v>10</v>
      </c>
    </row>
    <row r="33" spans="1:35" x14ac:dyDescent="0.25">
      <c r="A33" t="s">
        <v>279</v>
      </c>
      <c r="B33">
        <v>21728888291.791134</v>
      </c>
      <c r="C33" t="s">
        <v>280</v>
      </c>
      <c r="E33">
        <v>88.2</v>
      </c>
      <c r="F33">
        <v>51.8</v>
      </c>
      <c r="H33">
        <v>5.1599998474121094</v>
      </c>
      <c r="I33">
        <v>3.0773682594299316</v>
      </c>
      <c r="J33">
        <v>0.21698112785816193</v>
      </c>
      <c r="K33" t="s">
        <v>30</v>
      </c>
      <c r="M33">
        <v>4.112917423248291</v>
      </c>
      <c r="N33">
        <v>7.9494895935058594</v>
      </c>
      <c r="O33">
        <v>0.59242343902587891</v>
      </c>
      <c r="P33">
        <v>3</v>
      </c>
      <c r="Q33">
        <v>0</v>
      </c>
      <c r="R33">
        <v>10</v>
      </c>
      <c r="T33">
        <v>0.32758620381355286</v>
      </c>
      <c r="U33">
        <v>0.5</v>
      </c>
      <c r="V33">
        <v>0</v>
      </c>
      <c r="W33">
        <v>0</v>
      </c>
      <c r="X33">
        <v>0</v>
      </c>
      <c r="Y33" t="s">
        <v>497</v>
      </c>
      <c r="Z33" t="s">
        <v>86</v>
      </c>
      <c r="AA33" t="s">
        <v>22</v>
      </c>
      <c r="AB33" t="s">
        <v>22</v>
      </c>
      <c r="AC33" t="s">
        <v>22</v>
      </c>
      <c r="AE33">
        <v>5.4399523735046387</v>
      </c>
      <c r="AF33">
        <v>10</v>
      </c>
      <c r="AG33">
        <v>1.9747449159622192</v>
      </c>
      <c r="AH33">
        <v>10</v>
      </c>
      <c r="AI33">
        <v>0</v>
      </c>
    </row>
    <row r="34" spans="1:35" x14ac:dyDescent="0.25">
      <c r="A34" t="s">
        <v>281</v>
      </c>
      <c r="B34">
        <v>21576670890.01524</v>
      </c>
      <c r="C34" t="s">
        <v>282</v>
      </c>
      <c r="E34">
        <v>80.599999999999994</v>
      </c>
      <c r="F34">
        <v>69.400000000000006</v>
      </c>
      <c r="H34">
        <v>4.8000001907348633</v>
      </c>
      <c r="I34">
        <v>4.0001258850097656</v>
      </c>
      <c r="J34">
        <v>0.32075470685958862</v>
      </c>
      <c r="K34" t="s">
        <v>516</v>
      </c>
      <c r="M34">
        <v>5.2505435943603516</v>
      </c>
      <c r="N34">
        <v>9.675684928894043</v>
      </c>
      <c r="O34">
        <v>4.16558837890625</v>
      </c>
      <c r="P34">
        <v>3</v>
      </c>
      <c r="Q34">
        <v>0</v>
      </c>
      <c r="R34">
        <v>0</v>
      </c>
      <c r="T34">
        <v>0.36206895112991333</v>
      </c>
      <c r="U34">
        <v>1</v>
      </c>
      <c r="V34">
        <v>0.19230769574642181</v>
      </c>
      <c r="W34">
        <v>0</v>
      </c>
      <c r="X34">
        <v>0</v>
      </c>
      <c r="Y34" t="s">
        <v>496</v>
      </c>
      <c r="Z34" t="s">
        <v>31</v>
      </c>
      <c r="AA34" t="s">
        <v>508</v>
      </c>
      <c r="AB34" t="s">
        <v>22</v>
      </c>
      <c r="AC34" t="s">
        <v>22</v>
      </c>
      <c r="AE34">
        <v>6.9560098648071289</v>
      </c>
      <c r="AF34">
        <v>9.5405540466308594</v>
      </c>
      <c r="AG34">
        <v>6.722813606262207</v>
      </c>
      <c r="AH34">
        <v>10</v>
      </c>
      <c r="AI34">
        <v>0</v>
      </c>
    </row>
    <row r="35" spans="1:35" x14ac:dyDescent="0.25">
      <c r="A35" t="s">
        <v>283</v>
      </c>
      <c r="B35">
        <v>20818243334.012856</v>
      </c>
      <c r="C35" t="s">
        <v>224</v>
      </c>
      <c r="E35">
        <v>20.6</v>
      </c>
      <c r="F35">
        <v>32.4</v>
      </c>
      <c r="H35">
        <v>2.5499999523162842</v>
      </c>
      <c r="I35">
        <v>2.2063851356506348</v>
      </c>
      <c r="J35">
        <v>0.31132075190544128</v>
      </c>
      <c r="K35" t="s">
        <v>509</v>
      </c>
      <c r="M35">
        <v>4.9392461776733398</v>
      </c>
      <c r="N35">
        <v>6.7765254974365234</v>
      </c>
      <c r="O35">
        <v>0.31812429428100586</v>
      </c>
      <c r="P35">
        <v>1.5</v>
      </c>
      <c r="Q35">
        <v>0</v>
      </c>
      <c r="R35">
        <v>0</v>
      </c>
      <c r="T35">
        <v>0.5</v>
      </c>
      <c r="U35">
        <v>0.5</v>
      </c>
      <c r="V35">
        <v>0</v>
      </c>
      <c r="W35">
        <v>0</v>
      </c>
      <c r="X35">
        <v>0</v>
      </c>
      <c r="Y35" t="s">
        <v>86</v>
      </c>
      <c r="Z35" t="s">
        <v>86</v>
      </c>
      <c r="AA35" t="s">
        <v>22</v>
      </c>
      <c r="AB35" t="s">
        <v>22</v>
      </c>
      <c r="AC35" t="s">
        <v>22</v>
      </c>
      <c r="AE35">
        <v>5.5302443504333496</v>
      </c>
      <c r="AF35">
        <v>8.2583255767822266</v>
      </c>
      <c r="AG35">
        <v>1.0604143142700195</v>
      </c>
      <c r="AH35">
        <v>5</v>
      </c>
      <c r="AI35">
        <v>0</v>
      </c>
    </row>
    <row r="36" spans="1:35" x14ac:dyDescent="0.25">
      <c r="A36" t="s">
        <v>286</v>
      </c>
      <c r="B36">
        <v>20487901806.195004</v>
      </c>
      <c r="C36" t="s">
        <v>287</v>
      </c>
      <c r="E36">
        <v>75.599999999999994</v>
      </c>
      <c r="F36">
        <v>43.5</v>
      </c>
      <c r="H36">
        <v>4.5799999237060547</v>
      </c>
      <c r="I36">
        <v>2.6644802093505859</v>
      </c>
      <c r="J36">
        <v>0.36792454123497009</v>
      </c>
      <c r="K36" t="s">
        <v>514</v>
      </c>
      <c r="M36">
        <v>4.6395893096923828</v>
      </c>
      <c r="N36">
        <v>2.4774978160858154</v>
      </c>
      <c r="O36">
        <v>0.60052657127380371</v>
      </c>
      <c r="P36">
        <v>3</v>
      </c>
      <c r="Q36">
        <v>3</v>
      </c>
      <c r="R36">
        <v>10</v>
      </c>
      <c r="T36">
        <v>0.58620691299438477</v>
      </c>
      <c r="U36">
        <v>0</v>
      </c>
      <c r="V36">
        <v>0.19230769574642181</v>
      </c>
      <c r="W36">
        <v>0</v>
      </c>
      <c r="X36">
        <v>0</v>
      </c>
      <c r="Y36" t="s">
        <v>43</v>
      </c>
      <c r="Z36" t="s">
        <v>22</v>
      </c>
      <c r="AA36" t="s">
        <v>508</v>
      </c>
      <c r="AB36" t="s">
        <v>22</v>
      </c>
      <c r="AC36" t="s">
        <v>22</v>
      </c>
      <c r="AE36">
        <v>4.5751228332519531</v>
      </c>
      <c r="AF36">
        <v>8.2583255767822266</v>
      </c>
      <c r="AG36">
        <v>0.79526436328887939</v>
      </c>
      <c r="AH36">
        <v>10</v>
      </c>
      <c r="AI36">
        <v>10</v>
      </c>
    </row>
    <row r="37" spans="1:35" x14ac:dyDescent="0.25">
      <c r="A37" t="s">
        <v>290</v>
      </c>
      <c r="B37">
        <v>18811332017.639854</v>
      </c>
      <c r="C37" t="s">
        <v>291</v>
      </c>
      <c r="E37">
        <v>77.900000000000006</v>
      </c>
      <c r="F37">
        <v>80.599999999999994</v>
      </c>
      <c r="H37">
        <v>4.7100000381469727</v>
      </c>
      <c r="I37">
        <v>4.401728630065918</v>
      </c>
      <c r="J37">
        <v>0.46226415038108826</v>
      </c>
      <c r="K37" t="s">
        <v>495</v>
      </c>
      <c r="M37">
        <v>3.3796875476837158</v>
      </c>
      <c r="N37">
        <v>7.9494895935058594</v>
      </c>
      <c r="O37">
        <v>4.4764924049377441</v>
      </c>
      <c r="P37">
        <v>3</v>
      </c>
      <c r="Q37">
        <v>3</v>
      </c>
      <c r="R37">
        <v>10</v>
      </c>
      <c r="T37">
        <v>0.4482758641242981</v>
      </c>
      <c r="U37">
        <v>0.5</v>
      </c>
      <c r="V37">
        <v>0.73076921701431274</v>
      </c>
      <c r="W37">
        <v>0</v>
      </c>
      <c r="X37">
        <v>0</v>
      </c>
      <c r="Y37" t="s">
        <v>494</v>
      </c>
      <c r="Z37" t="s">
        <v>86</v>
      </c>
      <c r="AA37" t="s">
        <v>493</v>
      </c>
      <c r="AB37" t="s">
        <v>22</v>
      </c>
      <c r="AC37" t="s">
        <v>22</v>
      </c>
      <c r="AE37">
        <v>3.5150539875030518</v>
      </c>
      <c r="AF37">
        <v>10</v>
      </c>
      <c r="AG37">
        <v>3.5496597290039063</v>
      </c>
      <c r="AH37">
        <v>10</v>
      </c>
      <c r="AI37">
        <v>10</v>
      </c>
    </row>
    <row r="38" spans="1:35" x14ac:dyDescent="0.25">
      <c r="A38" t="s">
        <v>292</v>
      </c>
      <c r="B38">
        <v>18482906606.76358</v>
      </c>
      <c r="C38" t="s">
        <v>280</v>
      </c>
      <c r="E38">
        <v>88.8</v>
      </c>
      <c r="F38">
        <v>60</v>
      </c>
      <c r="H38">
        <v>5.3299999237060547</v>
      </c>
      <c r="I38">
        <v>3.3720357418060303</v>
      </c>
      <c r="J38">
        <v>0.35849055647850037</v>
      </c>
      <c r="K38" t="s">
        <v>496</v>
      </c>
      <c r="M38">
        <v>3.412419319152832</v>
      </c>
      <c r="N38">
        <v>7.9494895935058594</v>
      </c>
      <c r="O38">
        <v>2.1936056613922119</v>
      </c>
      <c r="P38">
        <v>3</v>
      </c>
      <c r="Q38">
        <v>0</v>
      </c>
      <c r="R38">
        <v>10</v>
      </c>
      <c r="T38">
        <v>0.58620691299438477</v>
      </c>
      <c r="U38">
        <v>0.5</v>
      </c>
      <c r="V38">
        <v>0</v>
      </c>
      <c r="W38">
        <v>0</v>
      </c>
      <c r="X38">
        <v>0</v>
      </c>
      <c r="Y38" t="s">
        <v>43</v>
      </c>
      <c r="Z38" t="s">
        <v>86</v>
      </c>
      <c r="AA38" t="s">
        <v>22</v>
      </c>
      <c r="AB38" t="s">
        <v>22</v>
      </c>
      <c r="AC38" t="s">
        <v>22</v>
      </c>
      <c r="AE38">
        <v>2.785414457321167</v>
      </c>
      <c r="AF38">
        <v>10</v>
      </c>
      <c r="AG38">
        <v>7.3120193481445313</v>
      </c>
      <c r="AH38">
        <v>10</v>
      </c>
      <c r="AI38">
        <v>0</v>
      </c>
    </row>
    <row r="39" spans="1:35" x14ac:dyDescent="0.25">
      <c r="A39" t="s">
        <v>293</v>
      </c>
      <c r="B39">
        <v>18476786411.67289</v>
      </c>
      <c r="C39" t="s">
        <v>278</v>
      </c>
      <c r="E39">
        <v>91.8</v>
      </c>
      <c r="F39">
        <v>81.8</v>
      </c>
      <c r="H39">
        <v>5.5</v>
      </c>
      <c r="I39">
        <v>4.4410204887390137</v>
      </c>
      <c r="J39">
        <v>0.66981130838394165</v>
      </c>
      <c r="K39" t="s">
        <v>441</v>
      </c>
      <c r="M39">
        <v>8.1008415222167969</v>
      </c>
      <c r="N39">
        <v>6.7765254974365234</v>
      </c>
      <c r="O39">
        <v>7.0039844512939453</v>
      </c>
      <c r="P39">
        <v>3</v>
      </c>
      <c r="Q39">
        <v>0</v>
      </c>
      <c r="R39">
        <v>10</v>
      </c>
      <c r="T39">
        <v>0.82758623361587524</v>
      </c>
      <c r="U39">
        <v>0.5</v>
      </c>
      <c r="V39">
        <v>0.73076921701431274</v>
      </c>
      <c r="W39">
        <v>0</v>
      </c>
      <c r="X39">
        <v>0</v>
      </c>
      <c r="Y39" t="s">
        <v>355</v>
      </c>
      <c r="Z39" t="s">
        <v>86</v>
      </c>
      <c r="AA39" t="s">
        <v>493</v>
      </c>
      <c r="AB39" t="s">
        <v>22</v>
      </c>
      <c r="AC39" t="s">
        <v>22</v>
      </c>
      <c r="AE39">
        <v>8.1989831924438477</v>
      </c>
      <c r="AF39">
        <v>8.2583255767822266</v>
      </c>
      <c r="AG39">
        <v>7.1666665077209473</v>
      </c>
      <c r="AH39">
        <v>10</v>
      </c>
      <c r="AI39">
        <v>0</v>
      </c>
    </row>
    <row r="40" spans="1:35" x14ac:dyDescent="0.25">
      <c r="A40" t="s">
        <v>294</v>
      </c>
      <c r="B40">
        <v>18169121502.570095</v>
      </c>
      <c r="C40" t="s">
        <v>295</v>
      </c>
      <c r="E40">
        <v>58.8</v>
      </c>
      <c r="F40">
        <v>74.7</v>
      </c>
      <c r="H40">
        <v>3.9300000667572021</v>
      </c>
      <c r="I40">
        <v>4.2231020927429199</v>
      </c>
      <c r="J40">
        <v>0.51886790990829468</v>
      </c>
      <c r="K40" t="s">
        <v>517</v>
      </c>
      <c r="M40">
        <v>4.5648870468139648</v>
      </c>
      <c r="N40">
        <v>9.675684928894043</v>
      </c>
      <c r="O40">
        <v>4.5524163246154785</v>
      </c>
      <c r="P40">
        <v>3.0329265594482422</v>
      </c>
      <c r="Q40">
        <v>0</v>
      </c>
      <c r="R40">
        <v>10</v>
      </c>
      <c r="T40">
        <v>0.39655172824859619</v>
      </c>
      <c r="U40">
        <v>1</v>
      </c>
      <c r="V40">
        <v>0.73076921701431274</v>
      </c>
      <c r="W40">
        <v>0.5</v>
      </c>
      <c r="X40">
        <v>0</v>
      </c>
      <c r="Y40" t="s">
        <v>23</v>
      </c>
      <c r="Z40" t="s">
        <v>31</v>
      </c>
      <c r="AA40" t="s">
        <v>493</v>
      </c>
      <c r="AB40" t="s">
        <v>86</v>
      </c>
      <c r="AC40" t="s">
        <v>22</v>
      </c>
      <c r="AE40">
        <v>5.6460905075073242</v>
      </c>
      <c r="AF40">
        <v>9.5405540466308594</v>
      </c>
      <c r="AG40">
        <v>3.6583123207092285</v>
      </c>
      <c r="AH40">
        <v>2.699648380279541</v>
      </c>
      <c r="AI40">
        <v>0</v>
      </c>
    </row>
    <row r="41" spans="1:35" x14ac:dyDescent="0.25">
      <c r="A41" t="s">
        <v>296</v>
      </c>
      <c r="B41">
        <v>17673525312.108719</v>
      </c>
      <c r="C41" t="s">
        <v>280</v>
      </c>
      <c r="E41">
        <v>53.5</v>
      </c>
      <c r="F41">
        <v>26.5</v>
      </c>
      <c r="H41">
        <v>3.7599999904632568</v>
      </c>
      <c r="I41">
        <v>1.7720479965209961</v>
      </c>
      <c r="J41">
        <v>0.10377358645200729</v>
      </c>
      <c r="K41" t="s">
        <v>518</v>
      </c>
      <c r="M41">
        <v>2.8164715766906738</v>
      </c>
      <c r="N41">
        <v>2.4774978160858154</v>
      </c>
      <c r="O41">
        <v>1.85871422290802</v>
      </c>
      <c r="P41">
        <v>1.5</v>
      </c>
      <c r="Q41">
        <v>0</v>
      </c>
      <c r="R41">
        <v>10</v>
      </c>
      <c r="T41">
        <v>0.18965516984462738</v>
      </c>
      <c r="U41">
        <v>0</v>
      </c>
      <c r="V41">
        <v>0</v>
      </c>
      <c r="W41">
        <v>0</v>
      </c>
      <c r="X41">
        <v>0</v>
      </c>
      <c r="Y41" t="s">
        <v>508</v>
      </c>
      <c r="Z41" t="s">
        <v>22</v>
      </c>
      <c r="AA41" t="s">
        <v>22</v>
      </c>
      <c r="AB41" t="s">
        <v>22</v>
      </c>
      <c r="AC41" t="s">
        <v>22</v>
      </c>
      <c r="AE41">
        <v>4.4226894378662109</v>
      </c>
      <c r="AF41">
        <v>8.2583255767822266</v>
      </c>
      <c r="AG41">
        <v>6.195713996887207</v>
      </c>
      <c r="AH41">
        <v>5</v>
      </c>
      <c r="AI41">
        <v>0</v>
      </c>
    </row>
    <row r="42" spans="1:35" x14ac:dyDescent="0.25">
      <c r="A42" t="s">
        <v>298</v>
      </c>
      <c r="B42">
        <v>16723492490.381227</v>
      </c>
      <c r="C42" t="s">
        <v>299</v>
      </c>
      <c r="E42">
        <v>86.8</v>
      </c>
      <c r="F42">
        <v>81.2</v>
      </c>
      <c r="H42">
        <v>5.0100002288818359</v>
      </c>
      <c r="I42">
        <v>4.4048752784729004</v>
      </c>
      <c r="J42">
        <v>0.32075470685958862</v>
      </c>
      <c r="K42" t="s">
        <v>516</v>
      </c>
      <c r="M42">
        <v>4.4389104843139648</v>
      </c>
      <c r="N42">
        <v>7.6400671005249023</v>
      </c>
      <c r="O42">
        <v>2.8832967281341553</v>
      </c>
      <c r="P42">
        <v>1.5</v>
      </c>
      <c r="Q42">
        <v>10</v>
      </c>
      <c r="R42">
        <v>10</v>
      </c>
      <c r="T42">
        <v>0.36206895112991333</v>
      </c>
      <c r="U42">
        <v>0.5</v>
      </c>
      <c r="V42">
        <v>0.19230769574642181</v>
      </c>
      <c r="W42">
        <v>0</v>
      </c>
      <c r="X42">
        <v>1</v>
      </c>
      <c r="Y42" t="s">
        <v>496</v>
      </c>
      <c r="Z42" t="s">
        <v>86</v>
      </c>
      <c r="AA42" t="s">
        <v>508</v>
      </c>
      <c r="AB42" t="s">
        <v>22</v>
      </c>
      <c r="AC42" t="s">
        <v>31</v>
      </c>
      <c r="AE42">
        <v>5.6962575912475586</v>
      </c>
      <c r="AF42">
        <v>9.5405540466308594</v>
      </c>
      <c r="AG42">
        <v>4.5146369934082031</v>
      </c>
      <c r="AH42">
        <v>5</v>
      </c>
      <c r="AI42">
        <v>10</v>
      </c>
    </row>
    <row r="43" spans="1:35" x14ac:dyDescent="0.25">
      <c r="A43" t="s">
        <v>300</v>
      </c>
      <c r="B43">
        <v>15316028120.326866</v>
      </c>
      <c r="C43" t="s">
        <v>265</v>
      </c>
      <c r="E43">
        <v>83.2</v>
      </c>
      <c r="F43">
        <v>98.8</v>
      </c>
      <c r="H43">
        <v>4.940000057220459</v>
      </c>
      <c r="I43">
        <v>6.4666576385498047</v>
      </c>
      <c r="J43">
        <v>0.81132078170776367</v>
      </c>
      <c r="K43" t="s">
        <v>285</v>
      </c>
      <c r="M43">
        <v>7.9820065498352051</v>
      </c>
      <c r="N43">
        <v>10</v>
      </c>
      <c r="O43">
        <v>5.1733527183532715</v>
      </c>
      <c r="P43">
        <v>8.3795166015625</v>
      </c>
      <c r="Q43">
        <v>0</v>
      </c>
      <c r="R43">
        <v>10</v>
      </c>
      <c r="T43">
        <v>0.75862067937850952</v>
      </c>
      <c r="U43">
        <v>1</v>
      </c>
      <c r="V43">
        <v>0.92307692766189575</v>
      </c>
      <c r="W43">
        <v>1</v>
      </c>
      <c r="X43">
        <v>0</v>
      </c>
      <c r="Y43" t="s">
        <v>222</v>
      </c>
      <c r="Z43" t="s">
        <v>31</v>
      </c>
      <c r="AA43" t="s">
        <v>221</v>
      </c>
      <c r="AB43" t="s">
        <v>31</v>
      </c>
      <c r="AC43" t="s">
        <v>22</v>
      </c>
      <c r="AE43">
        <v>8.4083795547485352</v>
      </c>
      <c r="AF43">
        <v>10</v>
      </c>
      <c r="AG43">
        <v>3.5496597290039063</v>
      </c>
      <c r="AH43">
        <v>7.704315185546875</v>
      </c>
      <c r="AI43">
        <v>0</v>
      </c>
    </row>
    <row r="44" spans="1:35" x14ac:dyDescent="0.25">
      <c r="A44" t="s">
        <v>301</v>
      </c>
      <c r="B44">
        <v>14743564603.401861</v>
      </c>
      <c r="C44" t="s">
        <v>287</v>
      </c>
      <c r="E44">
        <v>58.2</v>
      </c>
      <c r="F44">
        <v>37.6</v>
      </c>
      <c r="H44">
        <v>3.9200000762939453</v>
      </c>
      <c r="I44">
        <v>2.3830776214599609</v>
      </c>
      <c r="J44">
        <v>0.32075470685958862</v>
      </c>
      <c r="K44" t="s">
        <v>516</v>
      </c>
      <c r="M44">
        <v>2.9802489280700684</v>
      </c>
      <c r="N44">
        <v>10</v>
      </c>
      <c r="O44">
        <v>0.80787885189056396</v>
      </c>
      <c r="P44">
        <v>0</v>
      </c>
      <c r="Q44">
        <v>2.8311223983764648</v>
      </c>
      <c r="R44">
        <v>0</v>
      </c>
      <c r="T44">
        <v>0.32758620381355286</v>
      </c>
      <c r="U44">
        <v>1</v>
      </c>
      <c r="V44">
        <v>0.19230769574642181</v>
      </c>
      <c r="W44">
        <v>0</v>
      </c>
      <c r="X44">
        <v>0.5</v>
      </c>
      <c r="Y44" t="s">
        <v>497</v>
      </c>
      <c r="Z44" t="s">
        <v>31</v>
      </c>
      <c r="AA44" t="s">
        <v>508</v>
      </c>
      <c r="AB44" t="s">
        <v>22</v>
      </c>
      <c r="AC44" t="s">
        <v>86</v>
      </c>
      <c r="AE44">
        <v>3.6548788547515869</v>
      </c>
      <c r="AF44">
        <v>10</v>
      </c>
      <c r="AG44">
        <v>1.0698565244674683</v>
      </c>
      <c r="AH44">
        <v>0</v>
      </c>
      <c r="AI44">
        <v>2.4000000953674316</v>
      </c>
    </row>
    <row r="45" spans="1:35" x14ac:dyDescent="0.25">
      <c r="A45" t="s">
        <v>302</v>
      </c>
      <c r="B45">
        <v>13910966095.319998</v>
      </c>
      <c r="C45" t="s">
        <v>303</v>
      </c>
      <c r="E45">
        <v>70</v>
      </c>
      <c r="F45">
        <v>65.900000000000006</v>
      </c>
      <c r="H45">
        <v>4.3499999046325684</v>
      </c>
      <c r="I45">
        <v>3.7750201225280762</v>
      </c>
      <c r="J45">
        <v>0.33962264657020569</v>
      </c>
      <c r="K45" t="s">
        <v>507</v>
      </c>
      <c r="M45">
        <v>2.8821547031402588</v>
      </c>
      <c r="N45">
        <v>9.675684928894043</v>
      </c>
      <c r="O45">
        <v>4.4764924049377441</v>
      </c>
      <c r="P45">
        <v>3</v>
      </c>
      <c r="Q45">
        <v>0</v>
      </c>
      <c r="R45">
        <v>0</v>
      </c>
      <c r="T45">
        <v>0.15517240762710571</v>
      </c>
      <c r="U45">
        <v>1</v>
      </c>
      <c r="V45">
        <v>0.73076921701431274</v>
      </c>
      <c r="W45">
        <v>0</v>
      </c>
      <c r="X45">
        <v>0</v>
      </c>
      <c r="Y45" t="s">
        <v>502</v>
      </c>
      <c r="Z45" t="s">
        <v>31</v>
      </c>
      <c r="AA45" t="s">
        <v>493</v>
      </c>
      <c r="AB45" t="s">
        <v>22</v>
      </c>
      <c r="AC45" t="s">
        <v>22</v>
      </c>
      <c r="AE45">
        <v>4.8628954887390137</v>
      </c>
      <c r="AF45">
        <v>9.5405540466308594</v>
      </c>
      <c r="AG45">
        <v>3.5496597290039063</v>
      </c>
      <c r="AH45">
        <v>10</v>
      </c>
      <c r="AI45">
        <v>0</v>
      </c>
    </row>
    <row r="46" spans="1:35" x14ac:dyDescent="0.25">
      <c r="A46" t="s">
        <v>304</v>
      </c>
      <c r="B46">
        <v>13499609809.793037</v>
      </c>
      <c r="C46" t="s">
        <v>272</v>
      </c>
      <c r="E46">
        <v>95.9</v>
      </c>
      <c r="F46">
        <v>90</v>
      </c>
      <c r="H46">
        <v>5.7699999809265137</v>
      </c>
      <c r="I46">
        <v>4.9974040985107422</v>
      </c>
      <c r="J46">
        <v>0.74528300762176514</v>
      </c>
      <c r="K46" t="s">
        <v>446</v>
      </c>
      <c r="M46">
        <v>6.7709522247314453</v>
      </c>
      <c r="N46">
        <v>9.675684928894043</v>
      </c>
      <c r="O46">
        <v>4.4002895355224609</v>
      </c>
      <c r="P46">
        <v>1.5</v>
      </c>
      <c r="Q46">
        <v>9.2156858444213867</v>
      </c>
      <c r="R46">
        <v>0</v>
      </c>
      <c r="T46">
        <v>0.82758623361587524</v>
      </c>
      <c r="U46">
        <v>1</v>
      </c>
      <c r="V46">
        <v>0.73076921701431274</v>
      </c>
      <c r="W46">
        <v>0</v>
      </c>
      <c r="X46">
        <v>1</v>
      </c>
      <c r="Y46" t="s">
        <v>355</v>
      </c>
      <c r="Z46" t="s">
        <v>31</v>
      </c>
      <c r="AA46" t="s">
        <v>493</v>
      </c>
      <c r="AB46" t="s">
        <v>22</v>
      </c>
      <c r="AC46" t="s">
        <v>31</v>
      </c>
      <c r="AE46">
        <v>6.3086638450622559</v>
      </c>
      <c r="AF46">
        <v>9.5405540466308594</v>
      </c>
      <c r="AG46">
        <v>3.4406085014343262</v>
      </c>
      <c r="AH46">
        <v>5</v>
      </c>
      <c r="AI46">
        <v>8.8888893127441406</v>
      </c>
    </row>
    <row r="47" spans="1:35" x14ac:dyDescent="0.25">
      <c r="A47" t="s">
        <v>305</v>
      </c>
      <c r="B47">
        <v>13424197703.531296</v>
      </c>
      <c r="C47" t="s">
        <v>306</v>
      </c>
      <c r="E47">
        <v>76.5</v>
      </c>
      <c r="F47">
        <v>91.2</v>
      </c>
      <c r="H47">
        <v>4.630000114440918</v>
      </c>
      <c r="I47">
        <v>5.1461071968078613</v>
      </c>
      <c r="J47">
        <v>0.6603773832321167</v>
      </c>
      <c r="K47" t="s">
        <v>519</v>
      </c>
      <c r="M47">
        <v>5.7905354499816895</v>
      </c>
      <c r="N47">
        <v>6.0950613021850586</v>
      </c>
      <c r="O47">
        <v>7.6225838661193848</v>
      </c>
      <c r="P47">
        <v>3</v>
      </c>
      <c r="Q47">
        <v>7.0196080207824707</v>
      </c>
      <c r="R47">
        <v>0</v>
      </c>
      <c r="T47">
        <v>0.65517240762710571</v>
      </c>
      <c r="U47">
        <v>0.5</v>
      </c>
      <c r="V47">
        <v>0.92307692766189575</v>
      </c>
      <c r="W47">
        <v>0</v>
      </c>
      <c r="X47">
        <v>1</v>
      </c>
      <c r="Y47" t="s">
        <v>519</v>
      </c>
      <c r="Z47" t="s">
        <v>86</v>
      </c>
      <c r="AA47" t="s">
        <v>221</v>
      </c>
      <c r="AB47" t="s">
        <v>22</v>
      </c>
      <c r="AC47" t="s">
        <v>31</v>
      </c>
      <c r="AE47">
        <v>5.8504986763000488</v>
      </c>
      <c r="AF47">
        <v>7.2464542388916016</v>
      </c>
      <c r="AG47">
        <v>7.0203371047973633</v>
      </c>
      <c r="AH47">
        <v>10</v>
      </c>
      <c r="AI47">
        <v>5.7777776718139648</v>
      </c>
    </row>
    <row r="48" spans="1:35" x14ac:dyDescent="0.25">
      <c r="A48" t="s">
        <v>307</v>
      </c>
      <c r="B48">
        <v>12822681784.12351</v>
      </c>
      <c r="C48" t="s">
        <v>268</v>
      </c>
      <c r="E48">
        <v>87.6</v>
      </c>
      <c r="F48">
        <v>94.1</v>
      </c>
      <c r="H48">
        <v>5.0300002098083496</v>
      </c>
      <c r="I48">
        <v>5.7375807762145996</v>
      </c>
      <c r="J48">
        <v>0.44339624047279358</v>
      </c>
      <c r="K48" t="s">
        <v>26</v>
      </c>
      <c r="M48">
        <v>4.2709927558898926</v>
      </c>
      <c r="N48">
        <v>9.2868070602416992</v>
      </c>
      <c r="O48">
        <v>6.9017324447631836</v>
      </c>
      <c r="P48">
        <v>3</v>
      </c>
      <c r="Q48">
        <v>9.2156858444213867</v>
      </c>
      <c r="R48">
        <v>0</v>
      </c>
      <c r="T48">
        <v>0.27586206793785095</v>
      </c>
      <c r="U48">
        <v>1</v>
      </c>
      <c r="V48">
        <v>0.73076921701431274</v>
      </c>
      <c r="W48">
        <v>0</v>
      </c>
      <c r="X48">
        <v>1</v>
      </c>
      <c r="Y48" t="s">
        <v>492</v>
      </c>
      <c r="Z48" t="s">
        <v>31</v>
      </c>
      <c r="AA48" t="s">
        <v>493</v>
      </c>
      <c r="AB48" t="s">
        <v>22</v>
      </c>
      <c r="AC48" t="s">
        <v>31</v>
      </c>
      <c r="AE48">
        <v>6.103764533996582</v>
      </c>
      <c r="AF48">
        <v>8.9896440505981445</v>
      </c>
      <c r="AG48">
        <v>7.0203371047973633</v>
      </c>
      <c r="AH48">
        <v>10</v>
      </c>
      <c r="AI48">
        <v>8.8888893127441406</v>
      </c>
    </row>
    <row r="49" spans="1:35" x14ac:dyDescent="0.25">
      <c r="A49" t="s">
        <v>308</v>
      </c>
      <c r="B49">
        <v>12587634737.694378</v>
      </c>
      <c r="C49" t="s">
        <v>253</v>
      </c>
      <c r="E49">
        <v>52.4</v>
      </c>
      <c r="F49">
        <v>50</v>
      </c>
      <c r="H49">
        <v>3.7400000095367432</v>
      </c>
      <c r="I49">
        <v>3.0073044300079346</v>
      </c>
      <c r="J49">
        <v>0.1320754736661911</v>
      </c>
      <c r="K49" t="s">
        <v>498</v>
      </c>
      <c r="M49">
        <v>2.9558029174804688</v>
      </c>
      <c r="N49">
        <v>2.4774978160858154</v>
      </c>
      <c r="O49">
        <v>0.59242343902587891</v>
      </c>
      <c r="P49">
        <v>3</v>
      </c>
      <c r="Q49">
        <v>10</v>
      </c>
      <c r="R49">
        <v>0</v>
      </c>
      <c r="T49">
        <v>0.17241379618644714</v>
      </c>
      <c r="U49">
        <v>0</v>
      </c>
      <c r="V49">
        <v>0</v>
      </c>
      <c r="W49">
        <v>0</v>
      </c>
      <c r="X49">
        <v>1</v>
      </c>
      <c r="Y49" t="s">
        <v>499</v>
      </c>
      <c r="Z49" t="s">
        <v>22</v>
      </c>
      <c r="AA49" t="s">
        <v>22</v>
      </c>
      <c r="AB49" t="s">
        <v>22</v>
      </c>
      <c r="AC49" t="s">
        <v>31</v>
      </c>
      <c r="AE49">
        <v>4.8235268592834473</v>
      </c>
      <c r="AF49">
        <v>8.2583255767822266</v>
      </c>
      <c r="AG49">
        <v>1.9747449159622192</v>
      </c>
      <c r="AH49">
        <v>10</v>
      </c>
      <c r="AI49">
        <v>10</v>
      </c>
    </row>
    <row r="50" spans="1:35" x14ac:dyDescent="0.25">
      <c r="A50" t="s">
        <v>309</v>
      </c>
      <c r="B50">
        <v>11945968269.583307</v>
      </c>
      <c r="C50" t="s">
        <v>310</v>
      </c>
      <c r="E50">
        <v>68.2</v>
      </c>
      <c r="F50">
        <v>74.099999999999994</v>
      </c>
      <c r="H50">
        <v>4.2800002098083496</v>
      </c>
      <c r="I50">
        <v>4.2050085067749023</v>
      </c>
      <c r="J50">
        <v>0.38679245114326477</v>
      </c>
      <c r="K50" t="s">
        <v>520</v>
      </c>
      <c r="M50">
        <v>3.5234651565551758</v>
      </c>
      <c r="N50">
        <v>10</v>
      </c>
      <c r="O50">
        <v>0.84982138872146606</v>
      </c>
      <c r="P50">
        <v>1.5</v>
      </c>
      <c r="Q50">
        <v>10</v>
      </c>
      <c r="R50">
        <v>10</v>
      </c>
      <c r="T50">
        <v>0.5</v>
      </c>
      <c r="U50">
        <v>1</v>
      </c>
      <c r="V50">
        <v>0</v>
      </c>
      <c r="W50">
        <v>0</v>
      </c>
      <c r="X50">
        <v>1</v>
      </c>
      <c r="Y50" t="s">
        <v>86</v>
      </c>
      <c r="Z50" t="s">
        <v>31</v>
      </c>
      <c r="AA50" t="s">
        <v>22</v>
      </c>
      <c r="AB50" t="s">
        <v>22</v>
      </c>
      <c r="AC50" t="s">
        <v>31</v>
      </c>
      <c r="AE50">
        <v>3.4280240535736084</v>
      </c>
      <c r="AF50">
        <v>10</v>
      </c>
      <c r="AG50">
        <v>2.832737922668457</v>
      </c>
      <c r="AH50">
        <v>5</v>
      </c>
      <c r="AI50">
        <v>10</v>
      </c>
    </row>
    <row r="51" spans="1:35" x14ac:dyDescent="0.25">
      <c r="A51" t="s">
        <v>312</v>
      </c>
      <c r="B51">
        <v>11545121171.637442</v>
      </c>
      <c r="C51" t="s">
        <v>313</v>
      </c>
      <c r="E51">
        <v>39.1</v>
      </c>
      <c r="F51">
        <v>79.400000000000006</v>
      </c>
      <c r="H51">
        <v>3.2100000381469727</v>
      </c>
      <c r="I51">
        <v>4.3760561943054199</v>
      </c>
      <c r="J51">
        <v>0.37735849618911743</v>
      </c>
      <c r="K51" t="s">
        <v>501</v>
      </c>
      <c r="M51">
        <v>3.035456657409668</v>
      </c>
      <c r="N51">
        <v>6.1417374610900879</v>
      </c>
      <c r="O51">
        <v>8.4347467422485352</v>
      </c>
      <c r="P51">
        <v>3</v>
      </c>
      <c r="Q51">
        <v>3</v>
      </c>
      <c r="R51">
        <v>0</v>
      </c>
      <c r="T51">
        <v>0.17241379618644714</v>
      </c>
      <c r="U51">
        <v>0.75</v>
      </c>
      <c r="V51">
        <v>0.92307692766189575</v>
      </c>
      <c r="W51">
        <v>0</v>
      </c>
      <c r="X51">
        <v>0</v>
      </c>
      <c r="Y51" t="s">
        <v>499</v>
      </c>
      <c r="Z51" t="s">
        <v>446</v>
      </c>
      <c r="AA51" t="s">
        <v>221</v>
      </c>
      <c r="AB51" t="s">
        <v>22</v>
      </c>
      <c r="AC51" t="s">
        <v>22</v>
      </c>
      <c r="AE51">
        <v>4.963320255279541</v>
      </c>
      <c r="AF51">
        <v>5.8277931213378906</v>
      </c>
      <c r="AG51">
        <v>8.1712112426757813</v>
      </c>
      <c r="AH51">
        <v>10</v>
      </c>
      <c r="AI51">
        <v>10</v>
      </c>
    </row>
    <row r="52" spans="1:35" x14ac:dyDescent="0.25">
      <c r="A52" t="s">
        <v>314</v>
      </c>
      <c r="B52">
        <v>11404640146.689894</v>
      </c>
      <c r="C52" t="s">
        <v>291</v>
      </c>
      <c r="E52">
        <v>61.2</v>
      </c>
      <c r="F52">
        <v>46.5</v>
      </c>
      <c r="H52">
        <v>4.0100002288818359</v>
      </c>
      <c r="I52">
        <v>2.8130662441253662</v>
      </c>
      <c r="J52">
        <v>0.33962264657020569</v>
      </c>
      <c r="K52" t="s">
        <v>507</v>
      </c>
      <c r="M52">
        <v>6.3166265487670898</v>
      </c>
      <c r="N52">
        <v>2.4774978160858154</v>
      </c>
      <c r="O52">
        <v>0.59242343902587891</v>
      </c>
      <c r="P52">
        <v>3</v>
      </c>
      <c r="Q52">
        <v>3</v>
      </c>
      <c r="R52">
        <v>10</v>
      </c>
      <c r="T52">
        <v>0.62068963050842285</v>
      </c>
      <c r="U52">
        <v>0</v>
      </c>
      <c r="V52">
        <v>0</v>
      </c>
      <c r="W52">
        <v>0</v>
      </c>
      <c r="X52">
        <v>0</v>
      </c>
      <c r="Y52" t="s">
        <v>510</v>
      </c>
      <c r="Z52" t="s">
        <v>22</v>
      </c>
      <c r="AA52" t="s">
        <v>22</v>
      </c>
      <c r="AB52" t="s">
        <v>22</v>
      </c>
      <c r="AC52" t="s">
        <v>22</v>
      </c>
      <c r="AE52">
        <v>6.8123583793640137</v>
      </c>
      <c r="AF52">
        <v>8.2583255767822266</v>
      </c>
      <c r="AG52">
        <v>1.9747449159622192</v>
      </c>
      <c r="AH52">
        <v>10</v>
      </c>
      <c r="AI52">
        <v>10</v>
      </c>
    </row>
    <row r="53" spans="1:35" x14ac:dyDescent="0.25">
      <c r="A53" t="s">
        <v>315</v>
      </c>
      <c r="B53">
        <v>10686642170.595184</v>
      </c>
      <c r="C53" t="s">
        <v>268</v>
      </c>
      <c r="E53">
        <v>79.400000000000006</v>
      </c>
      <c r="F53">
        <v>90.6</v>
      </c>
      <c r="H53">
        <v>4.7699999809265137</v>
      </c>
      <c r="I53">
        <v>5.1336383819580078</v>
      </c>
      <c r="J53">
        <v>0.54716980457305908</v>
      </c>
      <c r="K53" t="s">
        <v>521</v>
      </c>
      <c r="M53">
        <v>5.1532540321350098</v>
      </c>
      <c r="N53">
        <v>10</v>
      </c>
      <c r="O53">
        <v>6.9017324447631836</v>
      </c>
      <c r="P53">
        <v>3</v>
      </c>
      <c r="Q53">
        <v>3</v>
      </c>
      <c r="R53">
        <v>0</v>
      </c>
      <c r="T53">
        <v>0.53448277711868286</v>
      </c>
      <c r="U53">
        <v>1</v>
      </c>
      <c r="V53">
        <v>0.73076921701431274</v>
      </c>
      <c r="W53">
        <v>0</v>
      </c>
      <c r="X53">
        <v>0</v>
      </c>
      <c r="Y53" t="s">
        <v>505</v>
      </c>
      <c r="Z53" t="s">
        <v>31</v>
      </c>
      <c r="AA53" t="s">
        <v>493</v>
      </c>
      <c r="AB53" t="s">
        <v>22</v>
      </c>
      <c r="AC53" t="s">
        <v>22</v>
      </c>
      <c r="AE53">
        <v>5.6333670616149902</v>
      </c>
      <c r="AF53">
        <v>10</v>
      </c>
      <c r="AG53">
        <v>7.0203371047973633</v>
      </c>
      <c r="AH53">
        <v>10</v>
      </c>
      <c r="AI53">
        <v>10</v>
      </c>
    </row>
    <row r="54" spans="1:35" x14ac:dyDescent="0.25">
      <c r="A54" t="s">
        <v>316</v>
      </c>
      <c r="B54">
        <v>10653192684.526974</v>
      </c>
      <c r="C54" t="s">
        <v>306</v>
      </c>
      <c r="E54">
        <v>97.1</v>
      </c>
      <c r="F54">
        <v>98.2</v>
      </c>
      <c r="H54">
        <v>6.059999942779541</v>
      </c>
      <c r="I54">
        <v>6.287299633026123</v>
      </c>
      <c r="J54">
        <v>0.56603771448135376</v>
      </c>
      <c r="K54" t="s">
        <v>266</v>
      </c>
      <c r="M54">
        <v>5.0120782852172852</v>
      </c>
      <c r="N54">
        <v>5.0862398147583008</v>
      </c>
      <c r="O54">
        <v>9.0516576766967773</v>
      </c>
      <c r="P54">
        <v>5.7863211631774902</v>
      </c>
      <c r="Q54">
        <v>7.0196080207824707</v>
      </c>
      <c r="R54">
        <v>10</v>
      </c>
      <c r="T54">
        <v>0.39655172824859619</v>
      </c>
      <c r="U54">
        <v>0.5</v>
      </c>
      <c r="V54">
        <v>0.92307692766189575</v>
      </c>
      <c r="W54">
        <v>0.5</v>
      </c>
      <c r="X54">
        <v>1</v>
      </c>
      <c r="Y54" t="s">
        <v>23</v>
      </c>
      <c r="Z54" t="s">
        <v>86</v>
      </c>
      <c r="AA54" t="s">
        <v>221</v>
      </c>
      <c r="AB54" t="s">
        <v>86</v>
      </c>
      <c r="AC54" t="s">
        <v>31</v>
      </c>
      <c r="AE54">
        <v>6.3309836387634277</v>
      </c>
      <c r="AF54">
        <v>5.7485074996948242</v>
      </c>
      <c r="AG54">
        <v>9.0454034805297852</v>
      </c>
      <c r="AH54">
        <v>6.788022518157959</v>
      </c>
      <c r="AI54">
        <v>5.7777776718139648</v>
      </c>
    </row>
    <row r="55" spans="1:35" x14ac:dyDescent="0.25">
      <c r="A55" t="s">
        <v>317</v>
      </c>
      <c r="B55">
        <v>10624143137.895182</v>
      </c>
      <c r="C55" t="s">
        <v>237</v>
      </c>
      <c r="E55" t="s">
        <v>238</v>
      </c>
      <c r="F55" t="s">
        <v>238</v>
      </c>
      <c r="H55" t="s">
        <v>238</v>
      </c>
      <c r="I55" t="s">
        <v>238</v>
      </c>
      <c r="J55" t="s">
        <v>238</v>
      </c>
      <c r="M55" t="s">
        <v>238</v>
      </c>
      <c r="N55" t="s">
        <v>238</v>
      </c>
      <c r="O55" t="s">
        <v>238</v>
      </c>
      <c r="P55" t="s">
        <v>238</v>
      </c>
      <c r="Q55" t="s">
        <v>238</v>
      </c>
      <c r="R55" t="s">
        <v>238</v>
      </c>
      <c r="T55" t="s">
        <v>238</v>
      </c>
      <c r="U55" t="s">
        <v>238</v>
      </c>
      <c r="V55" t="s">
        <v>238</v>
      </c>
      <c r="W55" t="s">
        <v>238</v>
      </c>
      <c r="X55" t="s">
        <v>238</v>
      </c>
      <c r="AE55" t="s">
        <v>238</v>
      </c>
      <c r="AF55" t="s">
        <v>238</v>
      </c>
      <c r="AG55" t="s">
        <v>238</v>
      </c>
      <c r="AH55" t="s">
        <v>238</v>
      </c>
      <c r="AI55" t="s">
        <v>238</v>
      </c>
    </row>
    <row r="56" spans="1:35" x14ac:dyDescent="0.25">
      <c r="A56" t="s">
        <v>318</v>
      </c>
      <c r="B56">
        <v>9227734767.3336468</v>
      </c>
      <c r="C56" t="s">
        <v>319</v>
      </c>
      <c r="E56">
        <v>62.4</v>
      </c>
      <c r="F56">
        <v>61.8</v>
      </c>
      <c r="H56">
        <v>4.0199999809265137</v>
      </c>
      <c r="I56">
        <v>3.4897327423095703</v>
      </c>
      <c r="J56">
        <v>0.43396225571632385</v>
      </c>
      <c r="K56" t="s">
        <v>506</v>
      </c>
      <c r="M56">
        <v>5.3762531280517578</v>
      </c>
      <c r="N56">
        <v>6.3075604438781738</v>
      </c>
      <c r="O56">
        <v>4.4002895355224609</v>
      </c>
      <c r="P56">
        <v>3</v>
      </c>
      <c r="Q56">
        <v>0</v>
      </c>
      <c r="R56">
        <v>0</v>
      </c>
      <c r="T56">
        <v>0.36206895112991333</v>
      </c>
      <c r="U56">
        <v>0.75</v>
      </c>
      <c r="V56">
        <v>0.73076921701431274</v>
      </c>
      <c r="W56">
        <v>0</v>
      </c>
      <c r="X56">
        <v>0</v>
      </c>
      <c r="Y56" t="s">
        <v>496</v>
      </c>
      <c r="Z56" t="s">
        <v>446</v>
      </c>
      <c r="AA56" t="s">
        <v>493</v>
      </c>
      <c r="AB56" t="s">
        <v>22</v>
      </c>
      <c r="AC56" t="s">
        <v>22</v>
      </c>
      <c r="AE56">
        <v>7.151125431060791</v>
      </c>
      <c r="AF56">
        <v>6.0647006034851074</v>
      </c>
      <c r="AG56">
        <v>3.4406085014343262</v>
      </c>
      <c r="AH56">
        <v>10</v>
      </c>
      <c r="AI56">
        <v>0</v>
      </c>
    </row>
    <row r="57" spans="1:35" x14ac:dyDescent="0.25">
      <c r="A57" t="s">
        <v>320</v>
      </c>
      <c r="B57">
        <v>9105177194.5653973</v>
      </c>
      <c r="C57" t="s">
        <v>321</v>
      </c>
      <c r="E57">
        <v>28.8</v>
      </c>
      <c r="F57">
        <v>45.3</v>
      </c>
      <c r="H57">
        <v>2.9000000953674316</v>
      </c>
      <c r="I57">
        <v>2.7761516571044922</v>
      </c>
      <c r="J57">
        <v>0.33018869161605835</v>
      </c>
      <c r="K57" t="s">
        <v>497</v>
      </c>
      <c r="M57">
        <v>3.6227157115936279</v>
      </c>
      <c r="N57">
        <v>3.478351354598999</v>
      </c>
      <c r="O57">
        <v>4.4764924049377441</v>
      </c>
      <c r="P57">
        <v>3</v>
      </c>
      <c r="Q57">
        <v>0</v>
      </c>
      <c r="R57">
        <v>0</v>
      </c>
      <c r="T57">
        <v>0.20689655840396881</v>
      </c>
      <c r="U57">
        <v>0.5</v>
      </c>
      <c r="V57">
        <v>0.73076921701431274</v>
      </c>
      <c r="W57">
        <v>0</v>
      </c>
      <c r="X57">
        <v>0</v>
      </c>
      <c r="Y57" t="s">
        <v>515</v>
      </c>
      <c r="Z57" t="s">
        <v>86</v>
      </c>
      <c r="AA57" t="s">
        <v>493</v>
      </c>
      <c r="AB57" t="s">
        <v>22</v>
      </c>
      <c r="AC57" t="s">
        <v>22</v>
      </c>
      <c r="AE57">
        <v>5.6457552909851074</v>
      </c>
      <c r="AF57">
        <v>3.3610367774963379</v>
      </c>
      <c r="AG57">
        <v>3.5496597290039063</v>
      </c>
      <c r="AH57">
        <v>10</v>
      </c>
      <c r="AI57">
        <v>0</v>
      </c>
    </row>
    <row r="58" spans="1:35" x14ac:dyDescent="0.25">
      <c r="A58" t="s">
        <v>324</v>
      </c>
      <c r="B58">
        <v>8852854488.3443909</v>
      </c>
      <c r="C58" t="s">
        <v>325</v>
      </c>
      <c r="E58">
        <v>48.8</v>
      </c>
      <c r="F58">
        <v>88.2</v>
      </c>
      <c r="H58">
        <v>3.6600000858306885</v>
      </c>
      <c r="I58">
        <v>4.9152078628540039</v>
      </c>
      <c r="J58">
        <v>0.41509434580802917</v>
      </c>
      <c r="K58" t="s">
        <v>522</v>
      </c>
      <c r="M58">
        <v>4.204625129699707</v>
      </c>
      <c r="N58">
        <v>7.9494895935058594</v>
      </c>
      <c r="O58">
        <v>3.6616921424865723</v>
      </c>
      <c r="P58">
        <v>3</v>
      </c>
      <c r="Q58">
        <v>9.2156858444213867</v>
      </c>
      <c r="R58">
        <v>0</v>
      </c>
      <c r="T58">
        <v>0.29310345649719238</v>
      </c>
      <c r="U58">
        <v>0.5</v>
      </c>
      <c r="V58">
        <v>0.73076921701431274</v>
      </c>
      <c r="W58">
        <v>0</v>
      </c>
      <c r="X58">
        <v>1</v>
      </c>
      <c r="Y58" t="s">
        <v>21</v>
      </c>
      <c r="Z58" t="s">
        <v>86</v>
      </c>
      <c r="AA58" t="s">
        <v>493</v>
      </c>
      <c r="AB58" t="s">
        <v>22</v>
      </c>
      <c r="AC58" t="s">
        <v>31</v>
      </c>
      <c r="AE58">
        <v>5.8538913726806641</v>
      </c>
      <c r="AF58">
        <v>10</v>
      </c>
      <c r="AG58">
        <v>2.3836276531219482</v>
      </c>
      <c r="AH58">
        <v>10</v>
      </c>
      <c r="AI58">
        <v>8.8888893127441406</v>
      </c>
    </row>
    <row r="59" spans="1:35" x14ac:dyDescent="0.25">
      <c r="A59" t="s">
        <v>326</v>
      </c>
      <c r="B59">
        <v>8834055200.2888126</v>
      </c>
      <c r="C59" t="s">
        <v>280</v>
      </c>
      <c r="E59">
        <v>47.1</v>
      </c>
      <c r="F59">
        <v>21.2</v>
      </c>
      <c r="H59">
        <v>3.5499999523162842</v>
      </c>
      <c r="I59">
        <v>1.4495818614959717</v>
      </c>
      <c r="J59">
        <v>0.17924527823925018</v>
      </c>
      <c r="K59" t="s">
        <v>523</v>
      </c>
      <c r="M59">
        <v>3.0232100486755371</v>
      </c>
      <c r="N59">
        <v>2.4774978160858154</v>
      </c>
      <c r="O59">
        <v>0.84982138872146606</v>
      </c>
      <c r="P59">
        <v>1.5</v>
      </c>
      <c r="Q59">
        <v>0</v>
      </c>
      <c r="R59">
        <v>0</v>
      </c>
      <c r="T59">
        <v>0.32758620381355286</v>
      </c>
      <c r="U59">
        <v>0</v>
      </c>
      <c r="V59">
        <v>0</v>
      </c>
      <c r="W59">
        <v>0</v>
      </c>
      <c r="X59">
        <v>0</v>
      </c>
      <c r="Y59" t="s">
        <v>497</v>
      </c>
      <c r="Z59" t="s">
        <v>22</v>
      </c>
      <c r="AA59" t="s">
        <v>22</v>
      </c>
      <c r="AB59" t="s">
        <v>22</v>
      </c>
      <c r="AC59" t="s">
        <v>22</v>
      </c>
      <c r="AE59">
        <v>3.7225852012634277</v>
      </c>
      <c r="AF59">
        <v>8.2583255767822266</v>
      </c>
      <c r="AG59">
        <v>2.832737922668457</v>
      </c>
      <c r="AH59">
        <v>5</v>
      </c>
      <c r="AI59">
        <v>0</v>
      </c>
    </row>
    <row r="60" spans="1:35" x14ac:dyDescent="0.25">
      <c r="A60" t="s">
        <v>327</v>
      </c>
      <c r="B60">
        <v>8447775354.5237703</v>
      </c>
      <c r="C60" t="s">
        <v>328</v>
      </c>
      <c r="E60">
        <v>82.4</v>
      </c>
      <c r="F60">
        <v>75.3</v>
      </c>
      <c r="H60">
        <v>4.929999828338623</v>
      </c>
      <c r="I60">
        <v>4.2430644035339355</v>
      </c>
      <c r="J60">
        <v>0.55660378932952881</v>
      </c>
      <c r="K60" t="s">
        <v>34</v>
      </c>
      <c r="M60">
        <v>5.550480842590332</v>
      </c>
      <c r="N60">
        <v>9.675684928894043</v>
      </c>
      <c r="O60">
        <v>1.1216413974761963</v>
      </c>
      <c r="P60">
        <v>3</v>
      </c>
      <c r="Q60">
        <v>3</v>
      </c>
      <c r="R60">
        <v>10</v>
      </c>
      <c r="T60">
        <v>0.62068963050842285</v>
      </c>
      <c r="U60">
        <v>1</v>
      </c>
      <c r="V60">
        <v>0.57692307233810425</v>
      </c>
      <c r="W60">
        <v>0</v>
      </c>
      <c r="X60">
        <v>0</v>
      </c>
      <c r="Y60" t="s">
        <v>510</v>
      </c>
      <c r="Z60" t="s">
        <v>31</v>
      </c>
      <c r="AA60" t="s">
        <v>284</v>
      </c>
      <c r="AB60" t="s">
        <v>22</v>
      </c>
      <c r="AC60" t="s">
        <v>22</v>
      </c>
      <c r="AE60">
        <v>5.7012906074523926</v>
      </c>
      <c r="AF60">
        <v>9.5405540466308594</v>
      </c>
      <c r="AG60">
        <v>0.67350292205810547</v>
      </c>
      <c r="AH60">
        <v>10</v>
      </c>
      <c r="AI60">
        <v>10</v>
      </c>
    </row>
    <row r="61" spans="1:35" x14ac:dyDescent="0.25">
      <c r="A61" t="s">
        <v>329</v>
      </c>
      <c r="B61">
        <v>8177807466.1082401</v>
      </c>
      <c r="C61" t="s">
        <v>330</v>
      </c>
      <c r="E61">
        <v>92.9</v>
      </c>
      <c r="F61">
        <v>75.900000000000006</v>
      </c>
      <c r="H61">
        <v>5.5999999046325684</v>
      </c>
      <c r="I61">
        <v>4.2677006721496582</v>
      </c>
      <c r="J61">
        <v>0.3854166567325592</v>
      </c>
      <c r="K61" t="s">
        <v>520</v>
      </c>
      <c r="M61">
        <v>4.5792603492736816</v>
      </c>
      <c r="N61">
        <v>7.6400671005249023</v>
      </c>
      <c r="O61">
        <v>0.90307778120040894</v>
      </c>
      <c r="P61">
        <v>3</v>
      </c>
      <c r="Q61">
        <v>9.2156858444213867</v>
      </c>
      <c r="R61">
        <v>0</v>
      </c>
      <c r="T61">
        <v>0.5</v>
      </c>
      <c r="U61">
        <v>0.5</v>
      </c>
      <c r="V61">
        <v>0.19230769574642181</v>
      </c>
      <c r="W61">
        <v>0</v>
      </c>
      <c r="X61">
        <v>1</v>
      </c>
      <c r="Y61" t="s">
        <v>86</v>
      </c>
      <c r="Z61" t="s">
        <v>86</v>
      </c>
      <c r="AA61" t="s">
        <v>508</v>
      </c>
      <c r="AB61" t="s">
        <v>22</v>
      </c>
      <c r="AC61" t="s">
        <v>31</v>
      </c>
      <c r="AE61">
        <v>4.995720386505127</v>
      </c>
      <c r="AF61">
        <v>9.5405540466308594</v>
      </c>
      <c r="AG61">
        <v>1.1959264278411865</v>
      </c>
      <c r="AH61">
        <v>10</v>
      </c>
      <c r="AI61">
        <v>8.8888893127441406</v>
      </c>
    </row>
    <row r="62" spans="1:35" x14ac:dyDescent="0.25">
      <c r="A62" t="s">
        <v>331</v>
      </c>
      <c r="B62">
        <v>7987890038.5991287</v>
      </c>
      <c r="C62" t="s">
        <v>237</v>
      </c>
      <c r="E62" t="s">
        <v>238</v>
      </c>
      <c r="F62" t="s">
        <v>238</v>
      </c>
      <c r="H62" t="s">
        <v>238</v>
      </c>
      <c r="I62" t="s">
        <v>238</v>
      </c>
      <c r="J62" t="s">
        <v>238</v>
      </c>
      <c r="M62" t="s">
        <v>238</v>
      </c>
      <c r="N62" t="s">
        <v>238</v>
      </c>
      <c r="O62" t="s">
        <v>238</v>
      </c>
      <c r="P62" t="s">
        <v>238</v>
      </c>
      <c r="Q62" t="s">
        <v>238</v>
      </c>
      <c r="R62" t="s">
        <v>238</v>
      </c>
      <c r="T62" t="s">
        <v>238</v>
      </c>
      <c r="U62" t="s">
        <v>238</v>
      </c>
      <c r="V62" t="s">
        <v>238</v>
      </c>
      <c r="W62" t="s">
        <v>238</v>
      </c>
      <c r="X62" t="s">
        <v>238</v>
      </c>
      <c r="AE62" t="s">
        <v>238</v>
      </c>
      <c r="AF62" t="s">
        <v>238</v>
      </c>
      <c r="AG62" t="s">
        <v>238</v>
      </c>
      <c r="AH62" t="s">
        <v>238</v>
      </c>
      <c r="AI62" t="s">
        <v>238</v>
      </c>
    </row>
    <row r="63" spans="1:35" x14ac:dyDescent="0.25">
      <c r="A63" t="s">
        <v>332</v>
      </c>
      <c r="B63">
        <v>7976242607.6999998</v>
      </c>
      <c r="C63" t="s">
        <v>229</v>
      </c>
      <c r="E63">
        <v>19.399999999999999</v>
      </c>
      <c r="F63">
        <v>20.6</v>
      </c>
      <c r="H63">
        <v>2.4900000095367432</v>
      </c>
      <c r="I63">
        <v>1.4176968336105347</v>
      </c>
      <c r="J63">
        <v>0.11320754885673523</v>
      </c>
      <c r="K63" t="s">
        <v>524</v>
      </c>
      <c r="M63">
        <v>3.2550122737884521</v>
      </c>
      <c r="N63">
        <v>2.4774978160858154</v>
      </c>
      <c r="O63">
        <v>0.59242343902587891</v>
      </c>
      <c r="P63">
        <v>1.5</v>
      </c>
      <c r="Q63">
        <v>0</v>
      </c>
      <c r="R63">
        <v>0</v>
      </c>
      <c r="T63">
        <v>0.20689655840396881</v>
      </c>
      <c r="U63">
        <v>0</v>
      </c>
      <c r="V63">
        <v>0</v>
      </c>
      <c r="W63">
        <v>0</v>
      </c>
      <c r="X63">
        <v>0</v>
      </c>
      <c r="Y63" t="s">
        <v>515</v>
      </c>
      <c r="Z63" t="s">
        <v>22</v>
      </c>
      <c r="AA63" t="s">
        <v>22</v>
      </c>
      <c r="AB63" t="s">
        <v>22</v>
      </c>
      <c r="AC63" t="s">
        <v>22</v>
      </c>
      <c r="AE63">
        <v>5.0205450057983398</v>
      </c>
      <c r="AF63">
        <v>8.2583255767822266</v>
      </c>
      <c r="AG63">
        <v>1.9747449159622192</v>
      </c>
      <c r="AH63">
        <v>5</v>
      </c>
      <c r="AI63">
        <v>0</v>
      </c>
    </row>
    <row r="64" spans="1:35" x14ac:dyDescent="0.25">
      <c r="A64" t="s">
        <v>333</v>
      </c>
      <c r="B64">
        <v>7870180567.8117809</v>
      </c>
      <c r="C64" t="s">
        <v>334</v>
      </c>
      <c r="E64">
        <v>31.8</v>
      </c>
      <c r="F64">
        <v>62.4</v>
      </c>
      <c r="H64">
        <v>2.9800000190734863</v>
      </c>
      <c r="I64">
        <v>3.5499198436737061</v>
      </c>
      <c r="J64">
        <v>0.34905660152435303</v>
      </c>
      <c r="K64" t="s">
        <v>513</v>
      </c>
      <c r="M64">
        <v>2.1451315879821777</v>
      </c>
      <c r="N64">
        <v>7.6400671005249023</v>
      </c>
      <c r="O64">
        <v>4.4002895355224609</v>
      </c>
      <c r="P64">
        <v>3</v>
      </c>
      <c r="Q64">
        <v>0</v>
      </c>
      <c r="R64">
        <v>10</v>
      </c>
      <c r="T64">
        <v>0.24137930572032928</v>
      </c>
      <c r="U64">
        <v>0.5</v>
      </c>
      <c r="V64">
        <v>0.73076921701431274</v>
      </c>
      <c r="W64">
        <v>0</v>
      </c>
      <c r="X64">
        <v>0</v>
      </c>
      <c r="Y64" t="s">
        <v>503</v>
      </c>
      <c r="Z64" t="s">
        <v>86</v>
      </c>
      <c r="AA64" t="s">
        <v>493</v>
      </c>
      <c r="AB64" t="s">
        <v>22</v>
      </c>
      <c r="AC64" t="s">
        <v>22</v>
      </c>
      <c r="AE64">
        <v>2.8884072303771973</v>
      </c>
      <c r="AF64">
        <v>9.5405540466308594</v>
      </c>
      <c r="AG64">
        <v>3.4406085014343262</v>
      </c>
      <c r="AH64">
        <v>10</v>
      </c>
      <c r="AI64">
        <v>0</v>
      </c>
    </row>
    <row r="65" spans="1:35" x14ac:dyDescent="0.25">
      <c r="A65" t="s">
        <v>335</v>
      </c>
      <c r="B65">
        <v>7664379626.8800001</v>
      </c>
      <c r="C65" t="s">
        <v>229</v>
      </c>
      <c r="E65">
        <v>52.4</v>
      </c>
      <c r="F65">
        <v>34.1</v>
      </c>
      <c r="H65">
        <v>3.7400000095367432</v>
      </c>
      <c r="I65">
        <v>2.2764418125152588</v>
      </c>
      <c r="J65">
        <v>0.22641509771347046</v>
      </c>
      <c r="K65" t="s">
        <v>525</v>
      </c>
      <c r="M65">
        <v>5.8591694831848145</v>
      </c>
      <c r="N65">
        <v>2.4774978160858154</v>
      </c>
      <c r="O65">
        <v>1.5</v>
      </c>
      <c r="P65">
        <v>3</v>
      </c>
      <c r="Q65">
        <v>0</v>
      </c>
      <c r="R65">
        <v>0</v>
      </c>
      <c r="T65">
        <v>0.41379311680793762</v>
      </c>
      <c r="U65">
        <v>0</v>
      </c>
      <c r="V65">
        <v>0</v>
      </c>
      <c r="W65">
        <v>0</v>
      </c>
      <c r="X65">
        <v>0</v>
      </c>
      <c r="Y65" t="s">
        <v>491</v>
      </c>
      <c r="Z65" t="s">
        <v>22</v>
      </c>
      <c r="AA65" t="s">
        <v>22</v>
      </c>
      <c r="AB65" t="s">
        <v>22</v>
      </c>
      <c r="AC65" t="s">
        <v>22</v>
      </c>
      <c r="AE65">
        <v>7.4981942176818848</v>
      </c>
      <c r="AF65">
        <v>8.2583255767822266</v>
      </c>
      <c r="AG65">
        <v>5</v>
      </c>
      <c r="AH65">
        <v>10</v>
      </c>
      <c r="AI65">
        <v>0</v>
      </c>
    </row>
    <row r="66" spans="1:35" x14ac:dyDescent="0.25">
      <c r="A66" t="s">
        <v>336</v>
      </c>
      <c r="B66">
        <v>7415906275.3784313</v>
      </c>
      <c r="C66" t="s">
        <v>337</v>
      </c>
      <c r="E66">
        <v>59.4</v>
      </c>
      <c r="F66">
        <v>30</v>
      </c>
      <c r="H66">
        <v>3.9700000286102295</v>
      </c>
      <c r="I66">
        <v>2.0297253131866455</v>
      </c>
      <c r="J66">
        <v>0.21875</v>
      </c>
      <c r="K66" t="s">
        <v>30</v>
      </c>
      <c r="M66">
        <v>5.2360801696777344</v>
      </c>
      <c r="N66">
        <v>2.4774978160858154</v>
      </c>
      <c r="O66">
        <v>0.59242343902587891</v>
      </c>
      <c r="P66">
        <v>3</v>
      </c>
      <c r="Q66">
        <v>0</v>
      </c>
      <c r="R66">
        <v>0</v>
      </c>
      <c r="T66">
        <v>0.4375</v>
      </c>
      <c r="U66">
        <v>0</v>
      </c>
      <c r="V66">
        <v>0</v>
      </c>
      <c r="W66">
        <v>0</v>
      </c>
      <c r="X66">
        <v>0</v>
      </c>
      <c r="Y66" t="s">
        <v>26</v>
      </c>
      <c r="Z66" t="s">
        <v>22</v>
      </c>
      <c r="AA66" t="s">
        <v>22</v>
      </c>
      <c r="AB66" t="s">
        <v>22</v>
      </c>
      <c r="AC66" t="s">
        <v>22</v>
      </c>
      <c r="AE66">
        <v>6.3839387893676758</v>
      </c>
      <c r="AF66">
        <v>8.2583255767822266</v>
      </c>
      <c r="AG66">
        <v>1.9747449159622192</v>
      </c>
      <c r="AH66">
        <v>10</v>
      </c>
      <c r="AI66">
        <v>0</v>
      </c>
    </row>
    <row r="67" spans="1:35" x14ac:dyDescent="0.25">
      <c r="A67" t="s">
        <v>338</v>
      </c>
      <c r="B67">
        <v>7404018265.6203318</v>
      </c>
      <c r="C67" t="s">
        <v>233</v>
      </c>
      <c r="E67">
        <v>98.8</v>
      </c>
      <c r="F67">
        <v>94.7</v>
      </c>
      <c r="H67">
        <v>6.320000171661377</v>
      </c>
      <c r="I67">
        <v>5.765134334564209</v>
      </c>
      <c r="J67">
        <v>0.625</v>
      </c>
      <c r="K67" t="s">
        <v>297</v>
      </c>
      <c r="M67">
        <v>5.5863003730773926</v>
      </c>
      <c r="N67">
        <v>9.675684928894043</v>
      </c>
      <c r="O67">
        <v>3.8271243572235107</v>
      </c>
      <c r="P67">
        <v>3</v>
      </c>
      <c r="Q67">
        <v>10</v>
      </c>
      <c r="R67">
        <v>10</v>
      </c>
      <c r="T67">
        <v>0.60416668653488159</v>
      </c>
      <c r="U67">
        <v>1</v>
      </c>
      <c r="V67">
        <v>0.73076921701431274</v>
      </c>
      <c r="W67">
        <v>0</v>
      </c>
      <c r="X67">
        <v>1</v>
      </c>
      <c r="Y67" t="s">
        <v>27</v>
      </c>
      <c r="Z67" t="s">
        <v>31</v>
      </c>
      <c r="AA67" t="s">
        <v>493</v>
      </c>
      <c r="AB67" t="s">
        <v>22</v>
      </c>
      <c r="AC67" t="s">
        <v>31</v>
      </c>
      <c r="AE67">
        <v>5.8496160507202148</v>
      </c>
      <c r="AF67">
        <v>9.5405540466308594</v>
      </c>
      <c r="AG67">
        <v>2.6203718185424805</v>
      </c>
      <c r="AH67">
        <v>10</v>
      </c>
      <c r="AI67">
        <v>10</v>
      </c>
    </row>
    <row r="68" spans="1:35" x14ac:dyDescent="0.25">
      <c r="A68" t="s">
        <v>339</v>
      </c>
      <c r="B68">
        <v>7336808677.5906954</v>
      </c>
      <c r="C68" t="s">
        <v>340</v>
      </c>
      <c r="E68">
        <v>54.7</v>
      </c>
      <c r="F68">
        <v>62.9</v>
      </c>
      <c r="H68">
        <v>3.8199999332427979</v>
      </c>
      <c r="I68">
        <v>3.5500495433807373</v>
      </c>
      <c r="J68">
        <v>0.16981132328510284</v>
      </c>
      <c r="K68" t="s">
        <v>499</v>
      </c>
      <c r="M68">
        <v>4.8693928718566895</v>
      </c>
      <c r="N68">
        <v>7.6400671005249023</v>
      </c>
      <c r="O68">
        <v>0.84982138872146606</v>
      </c>
      <c r="P68">
        <v>3</v>
      </c>
      <c r="Q68">
        <v>3</v>
      </c>
      <c r="R68">
        <v>0</v>
      </c>
      <c r="T68">
        <v>0.24137930572032928</v>
      </c>
      <c r="U68">
        <v>0.5</v>
      </c>
      <c r="V68">
        <v>0</v>
      </c>
      <c r="W68">
        <v>0</v>
      </c>
      <c r="X68">
        <v>0</v>
      </c>
      <c r="Y68" t="s">
        <v>503</v>
      </c>
      <c r="Z68" t="s">
        <v>86</v>
      </c>
      <c r="AA68" t="s">
        <v>22</v>
      </c>
      <c r="AB68" t="s">
        <v>22</v>
      </c>
      <c r="AC68" t="s">
        <v>22</v>
      </c>
      <c r="AE68">
        <v>7.400726318359375</v>
      </c>
      <c r="AF68">
        <v>9.5405540466308594</v>
      </c>
      <c r="AG68">
        <v>2.832737922668457</v>
      </c>
      <c r="AH68">
        <v>10</v>
      </c>
      <c r="AI68">
        <v>10</v>
      </c>
    </row>
    <row r="69" spans="1:35" x14ac:dyDescent="0.25">
      <c r="A69" t="s">
        <v>341</v>
      </c>
      <c r="B69">
        <v>7333974476.5899992</v>
      </c>
      <c r="C69" t="s">
        <v>229</v>
      </c>
      <c r="E69">
        <v>2.9</v>
      </c>
      <c r="F69">
        <v>2.9</v>
      </c>
      <c r="H69">
        <v>1.1200000047683716</v>
      </c>
      <c r="I69">
        <v>0.38168871402740479</v>
      </c>
      <c r="J69">
        <v>4.7169812023639679E-2</v>
      </c>
      <c r="K69" t="s">
        <v>526</v>
      </c>
      <c r="M69">
        <v>0</v>
      </c>
      <c r="N69">
        <v>0.7653312087059021</v>
      </c>
      <c r="O69">
        <v>1.5</v>
      </c>
      <c r="P69">
        <v>0</v>
      </c>
      <c r="Q69">
        <v>0</v>
      </c>
      <c r="R69">
        <v>0</v>
      </c>
      <c r="T69">
        <v>8.6206898093223572E-2</v>
      </c>
      <c r="U69">
        <v>0</v>
      </c>
      <c r="V69">
        <v>0</v>
      </c>
      <c r="W69">
        <v>0</v>
      </c>
      <c r="X69">
        <v>0</v>
      </c>
      <c r="Y69" t="s">
        <v>527</v>
      </c>
      <c r="Z69" t="s">
        <v>22</v>
      </c>
      <c r="AA69" t="s">
        <v>22</v>
      </c>
      <c r="AB69" t="s">
        <v>22</v>
      </c>
      <c r="AC69" t="s">
        <v>22</v>
      </c>
      <c r="AE69">
        <v>0</v>
      </c>
      <c r="AF69">
        <v>2.5511040687561035</v>
      </c>
      <c r="AG69">
        <v>5</v>
      </c>
      <c r="AH69">
        <v>0</v>
      </c>
      <c r="AI69">
        <v>0</v>
      </c>
    </row>
    <row r="70" spans="1:35" x14ac:dyDescent="0.25">
      <c r="A70" t="s">
        <v>342</v>
      </c>
      <c r="B70">
        <v>6974598289.5341749</v>
      </c>
      <c r="C70" t="s">
        <v>343</v>
      </c>
      <c r="E70">
        <v>62.4</v>
      </c>
      <c r="F70">
        <v>31.2</v>
      </c>
      <c r="H70">
        <v>4.0199999809265137</v>
      </c>
      <c r="I70">
        <v>2.1715936660766602</v>
      </c>
      <c r="J70">
        <v>0.25</v>
      </c>
      <c r="K70" t="s">
        <v>504</v>
      </c>
      <c r="M70">
        <v>4.9200749397277832</v>
      </c>
      <c r="N70">
        <v>3</v>
      </c>
      <c r="O70">
        <v>0.84982138872146606</v>
      </c>
      <c r="P70">
        <v>3</v>
      </c>
      <c r="Q70">
        <v>0</v>
      </c>
      <c r="R70">
        <v>0</v>
      </c>
      <c r="T70">
        <v>0.5</v>
      </c>
      <c r="U70">
        <v>0</v>
      </c>
      <c r="V70">
        <v>0</v>
      </c>
      <c r="W70">
        <v>0</v>
      </c>
      <c r="X70">
        <v>0</v>
      </c>
      <c r="Y70" t="s">
        <v>86</v>
      </c>
      <c r="Z70" t="s">
        <v>22</v>
      </c>
      <c r="AA70" t="s">
        <v>22</v>
      </c>
      <c r="AB70" t="s">
        <v>22</v>
      </c>
      <c r="AC70" t="s">
        <v>22</v>
      </c>
      <c r="AE70">
        <v>5.5017776489257813</v>
      </c>
      <c r="AF70">
        <v>10</v>
      </c>
      <c r="AG70">
        <v>2.832737922668457</v>
      </c>
      <c r="AH70">
        <v>10</v>
      </c>
      <c r="AI70">
        <v>0</v>
      </c>
    </row>
    <row r="71" spans="1:35" x14ac:dyDescent="0.25">
      <c r="A71" t="s">
        <v>344</v>
      </c>
      <c r="B71">
        <v>6957074061.1757832</v>
      </c>
      <c r="C71" t="s">
        <v>325</v>
      </c>
      <c r="E71">
        <v>36.5</v>
      </c>
      <c r="F71">
        <v>52.9</v>
      </c>
      <c r="H71">
        <v>3.1600000858306885</v>
      </c>
      <c r="I71">
        <v>3.1362447738647461</v>
      </c>
      <c r="J71">
        <v>0.33018869161605835</v>
      </c>
      <c r="K71" t="s">
        <v>497</v>
      </c>
      <c r="M71">
        <v>3.4276266098022461</v>
      </c>
      <c r="N71">
        <v>4.3916621208190918</v>
      </c>
      <c r="O71">
        <v>4.4764924049377441</v>
      </c>
      <c r="P71">
        <v>3</v>
      </c>
      <c r="Q71">
        <v>0</v>
      </c>
      <c r="R71">
        <v>10</v>
      </c>
      <c r="T71">
        <v>0.24137930572032928</v>
      </c>
      <c r="U71">
        <v>0.25</v>
      </c>
      <c r="V71">
        <v>0.73076921701431274</v>
      </c>
      <c r="W71">
        <v>0</v>
      </c>
      <c r="X71">
        <v>0</v>
      </c>
      <c r="Y71" t="s">
        <v>503</v>
      </c>
      <c r="Z71" t="s">
        <v>504</v>
      </c>
      <c r="AA71" t="s">
        <v>493</v>
      </c>
      <c r="AB71" t="s">
        <v>22</v>
      </c>
      <c r="AC71" t="s">
        <v>22</v>
      </c>
      <c r="AE71">
        <v>5.0126628875732422</v>
      </c>
      <c r="AF71">
        <v>6.5291666984558105</v>
      </c>
      <c r="AG71">
        <v>3.5496597290039063</v>
      </c>
      <c r="AH71">
        <v>10</v>
      </c>
      <c r="AI71">
        <v>0</v>
      </c>
    </row>
    <row r="72" spans="1:35" x14ac:dyDescent="0.25">
      <c r="A72" t="s">
        <v>345</v>
      </c>
      <c r="B72">
        <v>6747777953.5805712</v>
      </c>
      <c r="C72" t="s">
        <v>325</v>
      </c>
      <c r="E72">
        <v>51.2</v>
      </c>
      <c r="F72">
        <v>49.4</v>
      </c>
      <c r="H72">
        <v>3.7300000190734863</v>
      </c>
      <c r="I72">
        <v>2.9958469867706299</v>
      </c>
      <c r="J72">
        <v>0.35849055647850037</v>
      </c>
      <c r="K72" t="s">
        <v>496</v>
      </c>
      <c r="M72">
        <v>4.9185795783996582</v>
      </c>
      <c r="N72">
        <v>3</v>
      </c>
      <c r="O72">
        <v>4.4764924049377441</v>
      </c>
      <c r="P72">
        <v>3</v>
      </c>
      <c r="Q72">
        <v>0</v>
      </c>
      <c r="R72">
        <v>10</v>
      </c>
      <c r="T72">
        <v>0.32758620381355286</v>
      </c>
      <c r="U72">
        <v>0</v>
      </c>
      <c r="V72">
        <v>0.73076921701431274</v>
      </c>
      <c r="W72">
        <v>0</v>
      </c>
      <c r="X72">
        <v>0</v>
      </c>
      <c r="Y72" t="s">
        <v>497</v>
      </c>
      <c r="Z72" t="s">
        <v>22</v>
      </c>
      <c r="AA72" t="s">
        <v>493</v>
      </c>
      <c r="AB72" t="s">
        <v>22</v>
      </c>
      <c r="AC72" t="s">
        <v>22</v>
      </c>
      <c r="AE72">
        <v>6.7096676826477051</v>
      </c>
      <c r="AF72">
        <v>10</v>
      </c>
      <c r="AG72">
        <v>3.5496597290039063</v>
      </c>
      <c r="AH72">
        <v>10</v>
      </c>
      <c r="AI72">
        <v>0</v>
      </c>
    </row>
    <row r="73" spans="1:35" x14ac:dyDescent="0.25">
      <c r="A73" t="s">
        <v>346</v>
      </c>
      <c r="B73">
        <v>6649157335.4257975</v>
      </c>
      <c r="C73" t="s">
        <v>347</v>
      </c>
      <c r="E73">
        <v>61.2</v>
      </c>
      <c r="F73">
        <v>46.5</v>
      </c>
      <c r="H73">
        <v>4.0100002288818359</v>
      </c>
      <c r="I73">
        <v>2.8130662441253662</v>
      </c>
      <c r="J73">
        <v>0.33962264657020569</v>
      </c>
      <c r="K73" t="s">
        <v>507</v>
      </c>
      <c r="M73">
        <v>6.3166265487670898</v>
      </c>
      <c r="N73">
        <v>2.4774978160858154</v>
      </c>
      <c r="O73">
        <v>0.59242343902587891</v>
      </c>
      <c r="P73">
        <v>3</v>
      </c>
      <c r="Q73">
        <v>3</v>
      </c>
      <c r="R73">
        <v>10</v>
      </c>
      <c r="T73">
        <v>0.62068963050842285</v>
      </c>
      <c r="U73">
        <v>0</v>
      </c>
      <c r="V73">
        <v>0</v>
      </c>
      <c r="W73">
        <v>0</v>
      </c>
      <c r="X73">
        <v>0</v>
      </c>
      <c r="Y73" t="s">
        <v>510</v>
      </c>
      <c r="Z73" t="s">
        <v>22</v>
      </c>
      <c r="AA73" t="s">
        <v>22</v>
      </c>
      <c r="AB73" t="s">
        <v>22</v>
      </c>
      <c r="AC73" t="s">
        <v>22</v>
      </c>
      <c r="AE73">
        <v>6.8123583793640137</v>
      </c>
      <c r="AF73">
        <v>8.2583255767822266</v>
      </c>
      <c r="AG73">
        <v>1.9747449159622192</v>
      </c>
      <c r="AH73">
        <v>10</v>
      </c>
      <c r="AI73">
        <v>10</v>
      </c>
    </row>
    <row r="74" spans="1:35" x14ac:dyDescent="0.25">
      <c r="A74" t="s">
        <v>348</v>
      </c>
      <c r="B74">
        <v>6259956387.4656248</v>
      </c>
      <c r="C74" t="s">
        <v>233</v>
      </c>
      <c r="E74">
        <v>85.9</v>
      </c>
      <c r="F74">
        <v>58.2</v>
      </c>
      <c r="H74">
        <v>5</v>
      </c>
      <c r="I74">
        <v>3.2911849021911621</v>
      </c>
      <c r="J74">
        <v>0.21875</v>
      </c>
      <c r="K74" t="s">
        <v>30</v>
      </c>
      <c r="M74">
        <v>1.832217812538147</v>
      </c>
      <c r="N74">
        <v>7.6400671005249023</v>
      </c>
      <c r="O74">
        <v>1.2782174348831177</v>
      </c>
      <c r="P74">
        <v>3</v>
      </c>
      <c r="Q74">
        <v>3</v>
      </c>
      <c r="R74">
        <v>0</v>
      </c>
      <c r="T74">
        <v>0.25</v>
      </c>
      <c r="U74">
        <v>0.5</v>
      </c>
      <c r="V74">
        <v>0.19230769574642181</v>
      </c>
      <c r="W74">
        <v>0</v>
      </c>
      <c r="X74">
        <v>0</v>
      </c>
      <c r="Y74" t="s">
        <v>504</v>
      </c>
      <c r="Z74" t="s">
        <v>86</v>
      </c>
      <c r="AA74" t="s">
        <v>508</v>
      </c>
      <c r="AB74" t="s">
        <v>22</v>
      </c>
      <c r="AC74" t="s">
        <v>22</v>
      </c>
      <c r="AE74">
        <v>2.3146319389343262</v>
      </c>
      <c r="AF74">
        <v>9.5405540466308594</v>
      </c>
      <c r="AG74">
        <v>1.750602126121521</v>
      </c>
      <c r="AH74">
        <v>10</v>
      </c>
      <c r="AI74">
        <v>10</v>
      </c>
    </row>
    <row r="75" spans="1:35" x14ac:dyDescent="0.25">
      <c r="A75" t="s">
        <v>349</v>
      </c>
      <c r="B75">
        <v>5944979616.5428009</v>
      </c>
      <c r="C75" t="s">
        <v>310</v>
      </c>
      <c r="E75">
        <v>84.1</v>
      </c>
      <c r="F75">
        <v>97.1</v>
      </c>
      <c r="H75">
        <v>4.9499998092651367</v>
      </c>
      <c r="I75">
        <v>6.0645327568054199</v>
      </c>
      <c r="J75">
        <v>0.56603771448135376</v>
      </c>
      <c r="K75" t="s">
        <v>266</v>
      </c>
      <c r="M75">
        <v>3.117112398147583</v>
      </c>
      <c r="N75">
        <v>10</v>
      </c>
      <c r="O75">
        <v>7.0039844512939453</v>
      </c>
      <c r="P75">
        <v>3</v>
      </c>
      <c r="Q75">
        <v>10</v>
      </c>
      <c r="R75">
        <v>10</v>
      </c>
      <c r="T75">
        <v>0.5</v>
      </c>
      <c r="U75">
        <v>1</v>
      </c>
      <c r="V75">
        <v>0.73076921701431274</v>
      </c>
      <c r="W75">
        <v>0</v>
      </c>
      <c r="X75">
        <v>1</v>
      </c>
      <c r="Y75" t="s">
        <v>86</v>
      </c>
      <c r="Z75" t="s">
        <v>31</v>
      </c>
      <c r="AA75" t="s">
        <v>493</v>
      </c>
      <c r="AB75" t="s">
        <v>22</v>
      </c>
      <c r="AC75" t="s">
        <v>31</v>
      </c>
      <c r="AE75">
        <v>2.8246517181396484</v>
      </c>
      <c r="AF75">
        <v>10</v>
      </c>
      <c r="AG75">
        <v>7.1666665077209473</v>
      </c>
      <c r="AH75">
        <v>10</v>
      </c>
      <c r="AI75">
        <v>10</v>
      </c>
    </row>
    <row r="76" spans="1:35" x14ac:dyDescent="0.25">
      <c r="A76" t="s">
        <v>350</v>
      </c>
      <c r="B76">
        <v>5892439313.4357605</v>
      </c>
      <c r="C76" t="s">
        <v>260</v>
      </c>
      <c r="E76">
        <v>30.6</v>
      </c>
      <c r="F76">
        <v>20</v>
      </c>
      <c r="H76">
        <v>2.940000057220459</v>
      </c>
      <c r="I76">
        <v>1.3968294858932495</v>
      </c>
      <c r="J76">
        <v>0.1320754736661911</v>
      </c>
      <c r="K76" t="s">
        <v>498</v>
      </c>
      <c r="M76">
        <v>3.0232689380645752</v>
      </c>
      <c r="N76">
        <v>2.4774978160858154</v>
      </c>
      <c r="O76">
        <v>0.59242343902587891</v>
      </c>
      <c r="P76">
        <v>1.5</v>
      </c>
      <c r="Q76">
        <v>0</v>
      </c>
      <c r="R76">
        <v>0</v>
      </c>
      <c r="T76">
        <v>0.24137930572032928</v>
      </c>
      <c r="U76">
        <v>0</v>
      </c>
      <c r="V76">
        <v>0</v>
      </c>
      <c r="W76">
        <v>0</v>
      </c>
      <c r="X76">
        <v>0</v>
      </c>
      <c r="Y76" t="s">
        <v>503</v>
      </c>
      <c r="Z76" t="s">
        <v>22</v>
      </c>
      <c r="AA76" t="s">
        <v>22</v>
      </c>
      <c r="AB76" t="s">
        <v>22</v>
      </c>
      <c r="AC76" t="s">
        <v>22</v>
      </c>
      <c r="AE76">
        <v>4.3429064750671387</v>
      </c>
      <c r="AF76">
        <v>8.2583255767822266</v>
      </c>
      <c r="AG76">
        <v>1.9747449159622192</v>
      </c>
      <c r="AH76">
        <v>5</v>
      </c>
      <c r="AI76">
        <v>0</v>
      </c>
    </row>
    <row r="77" spans="1:35" x14ac:dyDescent="0.25">
      <c r="A77" t="s">
        <v>351</v>
      </c>
      <c r="B77">
        <v>5772599065.9242582</v>
      </c>
      <c r="C77" t="s">
        <v>352</v>
      </c>
      <c r="E77">
        <v>57.4</v>
      </c>
      <c r="F77">
        <v>54.7</v>
      </c>
      <c r="H77">
        <v>3.9100000858306885</v>
      </c>
      <c r="I77">
        <v>3.189669132232666</v>
      </c>
      <c r="J77">
        <v>0.38679245114326477</v>
      </c>
      <c r="K77" t="s">
        <v>520</v>
      </c>
      <c r="M77">
        <v>4.5889225006103516</v>
      </c>
      <c r="N77">
        <v>2.4774978160858154</v>
      </c>
      <c r="O77">
        <v>4.4002895355224609</v>
      </c>
      <c r="P77">
        <v>3</v>
      </c>
      <c r="Q77">
        <v>3</v>
      </c>
      <c r="R77">
        <v>0</v>
      </c>
      <c r="T77">
        <v>0.37931033968925476</v>
      </c>
      <c r="U77">
        <v>0</v>
      </c>
      <c r="V77">
        <v>0.73076921701431274</v>
      </c>
      <c r="W77">
        <v>0</v>
      </c>
      <c r="X77">
        <v>0</v>
      </c>
      <c r="Y77" t="s">
        <v>501</v>
      </c>
      <c r="Z77" t="s">
        <v>22</v>
      </c>
      <c r="AA77" t="s">
        <v>493</v>
      </c>
      <c r="AB77" t="s">
        <v>22</v>
      </c>
      <c r="AC77" t="s">
        <v>22</v>
      </c>
      <c r="AE77">
        <v>5.8043370246887207</v>
      </c>
      <c r="AF77">
        <v>8.2583255767822266</v>
      </c>
      <c r="AG77">
        <v>3.4406085014343262</v>
      </c>
      <c r="AH77">
        <v>10</v>
      </c>
      <c r="AI77">
        <v>10</v>
      </c>
    </row>
    <row r="78" spans="1:35" x14ac:dyDescent="0.25">
      <c r="A78" t="s">
        <v>353</v>
      </c>
      <c r="B78">
        <v>5306980087.3592577</v>
      </c>
      <c r="C78" t="s">
        <v>354</v>
      </c>
      <c r="E78">
        <v>64.7</v>
      </c>
      <c r="F78">
        <v>87.6</v>
      </c>
      <c r="H78">
        <v>4.0999999046325684</v>
      </c>
      <c r="I78">
        <v>4.8478174209594727</v>
      </c>
      <c r="J78">
        <v>0.43396225571632385</v>
      </c>
      <c r="K78" t="s">
        <v>506</v>
      </c>
      <c r="M78">
        <v>2.5433294773101807</v>
      </c>
      <c r="N78">
        <v>7.6400671005249023</v>
      </c>
      <c r="O78">
        <v>4.4002895355224609</v>
      </c>
      <c r="P78">
        <v>3</v>
      </c>
      <c r="Q78">
        <v>10</v>
      </c>
      <c r="R78">
        <v>0</v>
      </c>
      <c r="T78">
        <v>0.32758620381355286</v>
      </c>
      <c r="U78">
        <v>0.5</v>
      </c>
      <c r="V78">
        <v>0.73076921701431274</v>
      </c>
      <c r="W78">
        <v>0</v>
      </c>
      <c r="X78">
        <v>1</v>
      </c>
      <c r="Y78" t="s">
        <v>497</v>
      </c>
      <c r="Z78" t="s">
        <v>86</v>
      </c>
      <c r="AA78" t="s">
        <v>493</v>
      </c>
      <c r="AB78" t="s">
        <v>22</v>
      </c>
      <c r="AC78" t="s">
        <v>31</v>
      </c>
      <c r="AE78">
        <v>2.9662981033325195</v>
      </c>
      <c r="AF78">
        <v>9.5405540466308594</v>
      </c>
      <c r="AG78">
        <v>3.4406085014343262</v>
      </c>
      <c r="AH78">
        <v>10</v>
      </c>
      <c r="AI78">
        <v>10</v>
      </c>
    </row>
    <row r="79" spans="1:35" x14ac:dyDescent="0.25">
      <c r="A79" t="s">
        <v>356</v>
      </c>
      <c r="B79">
        <v>5218466535.1199999</v>
      </c>
      <c r="C79" t="s">
        <v>229</v>
      </c>
      <c r="E79">
        <v>34.4</v>
      </c>
      <c r="F79">
        <v>25.3</v>
      </c>
      <c r="H79">
        <v>3.0899999141693115</v>
      </c>
      <c r="I79">
        <v>1.7016851902008057</v>
      </c>
      <c r="J79">
        <v>0</v>
      </c>
      <c r="K79" t="s">
        <v>22</v>
      </c>
      <c r="M79">
        <v>0.59242343902587891</v>
      </c>
      <c r="N79">
        <v>2.4774978160858154</v>
      </c>
      <c r="O79">
        <v>0.59242343902587891</v>
      </c>
      <c r="P79">
        <v>3</v>
      </c>
      <c r="Q79">
        <v>0</v>
      </c>
      <c r="R79">
        <v>10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22</v>
      </c>
      <c r="Z79" t="s">
        <v>22</v>
      </c>
      <c r="AA79" t="s">
        <v>22</v>
      </c>
      <c r="AB79" t="s">
        <v>22</v>
      </c>
      <c r="AC79" t="s">
        <v>22</v>
      </c>
      <c r="AE79">
        <v>1.9747449159622192</v>
      </c>
      <c r="AF79">
        <v>8.2583255767822266</v>
      </c>
      <c r="AG79">
        <v>1.9747449159622192</v>
      </c>
      <c r="AH79">
        <v>10</v>
      </c>
      <c r="AI79">
        <v>0</v>
      </c>
    </row>
    <row r="80" spans="1:35" x14ac:dyDescent="0.25">
      <c r="A80" t="s">
        <v>357</v>
      </c>
      <c r="B80">
        <v>5155792980.0090685</v>
      </c>
      <c r="C80" t="s">
        <v>358</v>
      </c>
      <c r="E80">
        <v>77.099999999999994</v>
      </c>
      <c r="F80">
        <v>72.400000000000006</v>
      </c>
      <c r="H80">
        <v>4.6700000762939453</v>
      </c>
      <c r="I80">
        <v>4.101325511932373</v>
      </c>
      <c r="J80">
        <v>0.5</v>
      </c>
      <c r="K80" t="s">
        <v>86</v>
      </c>
      <c r="M80">
        <v>5.1641898155212402</v>
      </c>
      <c r="N80">
        <v>9.675684928894043</v>
      </c>
      <c r="O80">
        <v>4.8325982093811035</v>
      </c>
      <c r="P80">
        <v>3</v>
      </c>
      <c r="Q80">
        <v>0</v>
      </c>
      <c r="R80">
        <v>0</v>
      </c>
      <c r="T80">
        <v>0.53448277711868286</v>
      </c>
      <c r="U80">
        <v>1</v>
      </c>
      <c r="V80">
        <v>0.53846156597137451</v>
      </c>
      <c r="W80">
        <v>0</v>
      </c>
      <c r="X80">
        <v>0</v>
      </c>
      <c r="Y80" t="s">
        <v>505</v>
      </c>
      <c r="Z80" t="s">
        <v>31</v>
      </c>
      <c r="AA80" t="s">
        <v>528</v>
      </c>
      <c r="AB80" t="s">
        <v>22</v>
      </c>
      <c r="AC80" t="s">
        <v>22</v>
      </c>
      <c r="AE80">
        <v>5.6494770050048828</v>
      </c>
      <c r="AF80">
        <v>9.5405540466308594</v>
      </c>
      <c r="AG80">
        <v>5.1371588706970215</v>
      </c>
      <c r="AH80">
        <v>10</v>
      </c>
      <c r="AI80">
        <v>0</v>
      </c>
    </row>
    <row r="81" spans="1:35" x14ac:dyDescent="0.25">
      <c r="A81" t="s">
        <v>359</v>
      </c>
      <c r="B81">
        <v>5023262453.017705</v>
      </c>
      <c r="C81" t="s">
        <v>306</v>
      </c>
      <c r="E81">
        <v>49.4</v>
      </c>
      <c r="F81">
        <v>73.5</v>
      </c>
      <c r="H81">
        <v>3.6800000667572021</v>
      </c>
      <c r="I81">
        <v>4.1943798065185547</v>
      </c>
      <c r="J81">
        <v>0.54716980457305908</v>
      </c>
      <c r="K81" t="s">
        <v>521</v>
      </c>
      <c r="M81">
        <v>5.4092597961425781</v>
      </c>
      <c r="N81">
        <v>6.0950613021850586</v>
      </c>
      <c r="O81">
        <v>4.4002895355224609</v>
      </c>
      <c r="P81">
        <v>1.5</v>
      </c>
      <c r="Q81">
        <v>7.0196080207824707</v>
      </c>
      <c r="R81">
        <v>10</v>
      </c>
      <c r="T81">
        <v>0.53448277711868286</v>
      </c>
      <c r="U81">
        <v>0.5</v>
      </c>
      <c r="V81">
        <v>0.73076921701431274</v>
      </c>
      <c r="W81">
        <v>0</v>
      </c>
      <c r="X81">
        <v>1</v>
      </c>
      <c r="Y81" t="s">
        <v>505</v>
      </c>
      <c r="Z81" t="s">
        <v>86</v>
      </c>
      <c r="AA81" t="s">
        <v>493</v>
      </c>
      <c r="AB81" t="s">
        <v>22</v>
      </c>
      <c r="AC81" t="s">
        <v>31</v>
      </c>
      <c r="AE81">
        <v>6.0104970932006836</v>
      </c>
      <c r="AF81">
        <v>7.2464542388916016</v>
      </c>
      <c r="AG81">
        <v>3.4406085014343262</v>
      </c>
      <c r="AH81">
        <v>5</v>
      </c>
      <c r="AI81">
        <v>5.7777776718139648</v>
      </c>
    </row>
    <row r="82" spans="1:35" x14ac:dyDescent="0.25">
      <c r="A82" t="s">
        <v>360</v>
      </c>
      <c r="B82">
        <v>4978268695.0072107</v>
      </c>
      <c r="C82" t="s">
        <v>233</v>
      </c>
      <c r="E82">
        <v>62.4</v>
      </c>
      <c r="F82">
        <v>35.9</v>
      </c>
      <c r="H82">
        <v>4.0199999809265137</v>
      </c>
      <c r="I82">
        <v>2.3645453453063965</v>
      </c>
      <c r="J82">
        <v>0.3125</v>
      </c>
      <c r="K82" t="s">
        <v>509</v>
      </c>
      <c r="M82">
        <v>3.3079893589019775</v>
      </c>
      <c r="N82">
        <v>7.6400671005249023</v>
      </c>
      <c r="O82">
        <v>1.0979585647583008</v>
      </c>
      <c r="P82">
        <v>1.5</v>
      </c>
      <c r="Q82">
        <v>0</v>
      </c>
      <c r="R82">
        <v>0</v>
      </c>
      <c r="T82">
        <v>0.4375</v>
      </c>
      <c r="U82">
        <v>0.5</v>
      </c>
      <c r="V82">
        <v>0.19230769574642181</v>
      </c>
      <c r="W82">
        <v>0</v>
      </c>
      <c r="X82">
        <v>0</v>
      </c>
      <c r="Y82" t="s">
        <v>26</v>
      </c>
      <c r="Z82" t="s">
        <v>86</v>
      </c>
      <c r="AA82" t="s">
        <v>508</v>
      </c>
      <c r="AB82" t="s">
        <v>22</v>
      </c>
      <c r="AC82" t="s">
        <v>22</v>
      </c>
      <c r="AE82">
        <v>3.4712235927581787</v>
      </c>
      <c r="AF82">
        <v>9.5405540466308594</v>
      </c>
      <c r="AG82">
        <v>1.454002857208252</v>
      </c>
      <c r="AH82">
        <v>5</v>
      </c>
      <c r="AI82">
        <v>0</v>
      </c>
    </row>
    <row r="83" spans="1:35" x14ac:dyDescent="0.25">
      <c r="A83" t="s">
        <v>361</v>
      </c>
      <c r="B83">
        <v>4975472166.3109465</v>
      </c>
      <c r="C83" t="s">
        <v>352</v>
      </c>
      <c r="E83">
        <v>27.4</v>
      </c>
      <c r="F83">
        <v>27.1</v>
      </c>
      <c r="H83">
        <v>2.7899999618530273</v>
      </c>
      <c r="I83">
        <v>1.8356603384017944</v>
      </c>
      <c r="J83">
        <v>0.14150942862033844</v>
      </c>
      <c r="K83" t="s">
        <v>529</v>
      </c>
      <c r="M83">
        <v>3.727860689163208</v>
      </c>
      <c r="N83">
        <v>0.7653312087059021</v>
      </c>
      <c r="O83">
        <v>1.5</v>
      </c>
      <c r="P83">
        <v>3</v>
      </c>
      <c r="Q83">
        <v>0</v>
      </c>
      <c r="R83">
        <v>10</v>
      </c>
      <c r="T83">
        <v>0.25862067937850952</v>
      </c>
      <c r="U83">
        <v>0</v>
      </c>
      <c r="V83">
        <v>0</v>
      </c>
      <c r="W83">
        <v>0</v>
      </c>
      <c r="X83">
        <v>0</v>
      </c>
      <c r="Y83" t="s">
        <v>530</v>
      </c>
      <c r="Z83" t="s">
        <v>22</v>
      </c>
      <c r="AA83" t="s">
        <v>22</v>
      </c>
      <c r="AB83" t="s">
        <v>22</v>
      </c>
      <c r="AC83" t="s">
        <v>22</v>
      </c>
      <c r="AE83">
        <v>5.3639006614685059</v>
      </c>
      <c r="AF83">
        <v>2.5511040687561035</v>
      </c>
      <c r="AG83">
        <v>5</v>
      </c>
      <c r="AH83">
        <v>10</v>
      </c>
      <c r="AI83">
        <v>0</v>
      </c>
    </row>
    <row r="84" spans="1:35" x14ac:dyDescent="0.25">
      <c r="A84" t="s">
        <v>362</v>
      </c>
      <c r="B84">
        <v>4969115874.8688631</v>
      </c>
      <c r="C84" t="s">
        <v>325</v>
      </c>
      <c r="E84">
        <v>25.3</v>
      </c>
      <c r="F84">
        <v>38.799999999999997</v>
      </c>
      <c r="H84">
        <v>2.75</v>
      </c>
      <c r="I84">
        <v>2.4400577545166016</v>
      </c>
      <c r="J84">
        <v>0.33018869161605835</v>
      </c>
      <c r="K84" t="s">
        <v>497</v>
      </c>
      <c r="M84">
        <v>2.5619921684265137</v>
      </c>
      <c r="N84">
        <v>2.4774978160858154</v>
      </c>
      <c r="O84">
        <v>4.4764924049377441</v>
      </c>
      <c r="P84">
        <v>3</v>
      </c>
      <c r="Q84">
        <v>0</v>
      </c>
      <c r="R84">
        <v>0</v>
      </c>
      <c r="T84">
        <v>0.27586206793785095</v>
      </c>
      <c r="U84">
        <v>0</v>
      </c>
      <c r="V84">
        <v>0.73076921701431274</v>
      </c>
      <c r="W84">
        <v>0</v>
      </c>
      <c r="X84">
        <v>0</v>
      </c>
      <c r="Y84" t="s">
        <v>492</v>
      </c>
      <c r="Z84" t="s">
        <v>22</v>
      </c>
      <c r="AA84" t="s">
        <v>493</v>
      </c>
      <c r="AB84" t="s">
        <v>22</v>
      </c>
      <c r="AC84" t="s">
        <v>22</v>
      </c>
      <c r="AE84">
        <v>3.3350398540496826</v>
      </c>
      <c r="AF84">
        <v>8.2583255767822266</v>
      </c>
      <c r="AG84">
        <v>3.5496597290039063</v>
      </c>
      <c r="AH84">
        <v>10</v>
      </c>
      <c r="AI84">
        <v>0</v>
      </c>
    </row>
    <row r="85" spans="1:35" x14ac:dyDescent="0.25">
      <c r="A85" t="s">
        <v>363</v>
      </c>
      <c r="B85">
        <v>4723220644.9680223</v>
      </c>
      <c r="C85" t="s">
        <v>224</v>
      </c>
      <c r="E85">
        <v>20</v>
      </c>
      <c r="F85">
        <v>41.2</v>
      </c>
      <c r="H85">
        <v>2.5199999809265137</v>
      </c>
      <c r="I85">
        <v>2.5507709980010986</v>
      </c>
      <c r="J85">
        <v>0.32075470685958862</v>
      </c>
      <c r="K85" t="s">
        <v>516</v>
      </c>
      <c r="M85">
        <v>2.5663795471191406</v>
      </c>
      <c r="N85">
        <v>3</v>
      </c>
      <c r="O85">
        <v>4.323793888092041</v>
      </c>
      <c r="P85">
        <v>1.5</v>
      </c>
      <c r="Q85">
        <v>3</v>
      </c>
      <c r="R85">
        <v>0</v>
      </c>
      <c r="T85">
        <v>0.25862067937850952</v>
      </c>
      <c r="U85">
        <v>0</v>
      </c>
      <c r="V85">
        <v>0.73076921701431274</v>
      </c>
      <c r="W85">
        <v>0</v>
      </c>
      <c r="X85">
        <v>0</v>
      </c>
      <c r="Y85" t="s">
        <v>530</v>
      </c>
      <c r="Z85" t="s">
        <v>22</v>
      </c>
      <c r="AA85" t="s">
        <v>493</v>
      </c>
      <c r="AB85" t="s">
        <v>22</v>
      </c>
      <c r="AC85" t="s">
        <v>22</v>
      </c>
      <c r="AE85">
        <v>3.4620747566223145</v>
      </c>
      <c r="AF85">
        <v>10</v>
      </c>
      <c r="AG85">
        <v>3.3311388492584229</v>
      </c>
      <c r="AH85">
        <v>5</v>
      </c>
      <c r="AI85">
        <v>10</v>
      </c>
    </row>
    <row r="86" spans="1:35" x14ac:dyDescent="0.25">
      <c r="A86" t="s">
        <v>364</v>
      </c>
      <c r="B86">
        <v>4609724325.1279221</v>
      </c>
      <c r="C86" t="s">
        <v>365</v>
      </c>
      <c r="E86">
        <v>67.400000000000006</v>
      </c>
      <c r="F86">
        <v>86.5</v>
      </c>
      <c r="H86">
        <v>4.2699999809265137</v>
      </c>
      <c r="I86">
        <v>4.7853021621704102</v>
      </c>
      <c r="J86">
        <v>0.50943398475646973</v>
      </c>
      <c r="K86" t="s">
        <v>511</v>
      </c>
      <c r="M86">
        <v>5.4079418182373047</v>
      </c>
      <c r="N86">
        <v>7.6400671005249023</v>
      </c>
      <c r="O86">
        <v>2.2084062099456787</v>
      </c>
      <c r="P86">
        <v>2.4408290386199951</v>
      </c>
      <c r="Q86">
        <v>10</v>
      </c>
      <c r="R86">
        <v>10</v>
      </c>
      <c r="T86">
        <v>0.5</v>
      </c>
      <c r="U86">
        <v>0.5</v>
      </c>
      <c r="V86">
        <v>0.46153846383094788</v>
      </c>
      <c r="W86">
        <v>0.5</v>
      </c>
      <c r="X86">
        <v>1</v>
      </c>
      <c r="Y86" t="s">
        <v>86</v>
      </c>
      <c r="Z86" t="s">
        <v>86</v>
      </c>
      <c r="AA86" t="s">
        <v>495</v>
      </c>
      <c r="AB86" t="s">
        <v>86</v>
      </c>
      <c r="AC86" t="s">
        <v>31</v>
      </c>
      <c r="AE86">
        <v>6.2261867523193359</v>
      </c>
      <c r="AF86">
        <v>9.5405540466308594</v>
      </c>
      <c r="AG86">
        <v>1.6799120903015137</v>
      </c>
      <c r="AH86">
        <v>1.820473313331604</v>
      </c>
      <c r="AI86">
        <v>10</v>
      </c>
    </row>
    <row r="87" spans="1:35" x14ac:dyDescent="0.25">
      <c r="A87" t="s">
        <v>366</v>
      </c>
      <c r="B87">
        <v>4562565760.7874451</v>
      </c>
      <c r="C87" t="s">
        <v>237</v>
      </c>
      <c r="E87" t="s">
        <v>238</v>
      </c>
      <c r="F87" t="s">
        <v>238</v>
      </c>
      <c r="H87" t="s">
        <v>238</v>
      </c>
      <c r="I87" t="s">
        <v>238</v>
      </c>
      <c r="J87" t="s">
        <v>238</v>
      </c>
      <c r="M87" t="s">
        <v>238</v>
      </c>
      <c r="N87" t="s">
        <v>238</v>
      </c>
      <c r="O87" t="s">
        <v>238</v>
      </c>
      <c r="P87" t="s">
        <v>238</v>
      </c>
      <c r="Q87" t="s">
        <v>238</v>
      </c>
      <c r="R87" t="s">
        <v>238</v>
      </c>
      <c r="T87" t="s">
        <v>238</v>
      </c>
      <c r="U87" t="s">
        <v>238</v>
      </c>
      <c r="V87" t="s">
        <v>238</v>
      </c>
      <c r="W87" t="s">
        <v>238</v>
      </c>
      <c r="X87" t="s">
        <v>238</v>
      </c>
      <c r="AE87" t="s">
        <v>238</v>
      </c>
      <c r="AF87" t="s">
        <v>238</v>
      </c>
      <c r="AG87" t="s">
        <v>238</v>
      </c>
      <c r="AH87" t="s">
        <v>238</v>
      </c>
      <c r="AI87" t="s">
        <v>238</v>
      </c>
    </row>
    <row r="88" spans="1:35" x14ac:dyDescent="0.25">
      <c r="A88" t="s">
        <v>367</v>
      </c>
      <c r="B88">
        <v>4480194303.8995876</v>
      </c>
      <c r="C88" t="s">
        <v>257</v>
      </c>
      <c r="E88">
        <v>81.8</v>
      </c>
      <c r="F88">
        <v>66.5</v>
      </c>
      <c r="H88">
        <v>4.8899998664855957</v>
      </c>
      <c r="I88">
        <v>3.7836461067199707</v>
      </c>
      <c r="J88">
        <v>0.38679245114326477</v>
      </c>
      <c r="K88" t="s">
        <v>520</v>
      </c>
      <c r="M88">
        <v>3.0437898635864258</v>
      </c>
      <c r="N88">
        <v>9.675684928894043</v>
      </c>
      <c r="O88">
        <v>4.4002895355224609</v>
      </c>
      <c r="P88">
        <v>3</v>
      </c>
      <c r="Q88">
        <v>0</v>
      </c>
      <c r="R88">
        <v>0</v>
      </c>
      <c r="T88">
        <v>0.24137930572032928</v>
      </c>
      <c r="U88">
        <v>1</v>
      </c>
      <c r="V88">
        <v>0.73076921701431274</v>
      </c>
      <c r="W88">
        <v>0</v>
      </c>
      <c r="X88">
        <v>0</v>
      </c>
      <c r="Y88" t="s">
        <v>503</v>
      </c>
      <c r="Z88" t="s">
        <v>31</v>
      </c>
      <c r="AA88" t="s">
        <v>493</v>
      </c>
      <c r="AB88" t="s">
        <v>22</v>
      </c>
      <c r="AC88" t="s">
        <v>22</v>
      </c>
      <c r="AE88">
        <v>4.3768963813781738</v>
      </c>
      <c r="AF88">
        <v>9.5405540466308594</v>
      </c>
      <c r="AG88">
        <v>3.4406085014343262</v>
      </c>
      <c r="AH88">
        <v>10</v>
      </c>
      <c r="AI88">
        <v>0</v>
      </c>
    </row>
    <row r="89" spans="1:35" x14ac:dyDescent="0.25">
      <c r="A89" t="s">
        <v>368</v>
      </c>
      <c r="B89">
        <v>4273739645.7599988</v>
      </c>
      <c r="C89" t="s">
        <v>229</v>
      </c>
      <c r="E89">
        <v>10.6</v>
      </c>
      <c r="F89">
        <v>13.5</v>
      </c>
      <c r="H89">
        <v>1.8500000238418579</v>
      </c>
      <c r="I89">
        <v>1.1326025724411011</v>
      </c>
      <c r="J89">
        <v>0</v>
      </c>
      <c r="K89" t="s">
        <v>22</v>
      </c>
      <c r="M89">
        <v>0.59242343902587891</v>
      </c>
      <c r="N89">
        <v>2.4774978160858154</v>
      </c>
      <c r="O89">
        <v>0.59242343902587891</v>
      </c>
      <c r="P89">
        <v>1.5</v>
      </c>
      <c r="Q89">
        <v>0</v>
      </c>
      <c r="R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22</v>
      </c>
      <c r="Z89" t="s">
        <v>22</v>
      </c>
      <c r="AA89" t="s">
        <v>22</v>
      </c>
      <c r="AB89" t="s">
        <v>22</v>
      </c>
      <c r="AC89" t="s">
        <v>22</v>
      </c>
      <c r="AE89">
        <v>1.9747449159622192</v>
      </c>
      <c r="AF89">
        <v>8.2583255767822266</v>
      </c>
      <c r="AG89">
        <v>1.9747449159622192</v>
      </c>
      <c r="AH89">
        <v>5</v>
      </c>
      <c r="AI89">
        <v>0</v>
      </c>
    </row>
    <row r="90" spans="1:35" x14ac:dyDescent="0.25">
      <c r="A90" t="s">
        <v>369</v>
      </c>
      <c r="B90">
        <v>4100658302.5499992</v>
      </c>
      <c r="C90" t="s">
        <v>370</v>
      </c>
      <c r="E90">
        <v>45.6</v>
      </c>
      <c r="F90">
        <v>40</v>
      </c>
      <c r="H90">
        <v>3.4900000095367432</v>
      </c>
      <c r="I90">
        <v>2.4923086166381836</v>
      </c>
      <c r="J90">
        <v>0.51886790990829468</v>
      </c>
      <c r="K90" t="s">
        <v>517</v>
      </c>
      <c r="M90">
        <v>4.9042963981628418</v>
      </c>
      <c r="N90">
        <v>2.4774978160858154</v>
      </c>
      <c r="O90">
        <v>7.0039844512939453</v>
      </c>
      <c r="P90">
        <v>1.5</v>
      </c>
      <c r="Q90">
        <v>0</v>
      </c>
      <c r="R90">
        <v>0</v>
      </c>
      <c r="T90">
        <v>0.53448277711868286</v>
      </c>
      <c r="U90">
        <v>0</v>
      </c>
      <c r="V90">
        <v>0.73076921701431274</v>
      </c>
      <c r="W90">
        <v>0</v>
      </c>
      <c r="X90">
        <v>0</v>
      </c>
      <c r="Y90" t="s">
        <v>505</v>
      </c>
      <c r="Z90" t="s">
        <v>22</v>
      </c>
      <c r="AA90" t="s">
        <v>493</v>
      </c>
      <c r="AB90" t="s">
        <v>22</v>
      </c>
      <c r="AC90" t="s">
        <v>22</v>
      </c>
      <c r="AE90">
        <v>5.2666201591491699</v>
      </c>
      <c r="AF90">
        <v>8.2583255767822266</v>
      </c>
      <c r="AG90">
        <v>7.1666665077209473</v>
      </c>
      <c r="AH90">
        <v>5</v>
      </c>
      <c r="AI90">
        <v>0</v>
      </c>
    </row>
    <row r="91" spans="1:35" x14ac:dyDescent="0.25">
      <c r="A91" t="s">
        <v>371</v>
      </c>
      <c r="B91">
        <v>4050189460.5140195</v>
      </c>
      <c r="C91" t="s">
        <v>295</v>
      </c>
      <c r="E91">
        <v>56.5</v>
      </c>
      <c r="F91">
        <v>97.6</v>
      </c>
      <c r="H91">
        <v>3.9000000953674316</v>
      </c>
      <c r="I91">
        <v>6.2587671279907227</v>
      </c>
      <c r="J91">
        <v>0.40566039085388184</v>
      </c>
      <c r="K91" t="s">
        <v>491</v>
      </c>
      <c r="M91">
        <v>5.0434560775756836</v>
      </c>
      <c r="N91">
        <v>9.675684928894043</v>
      </c>
      <c r="O91">
        <v>6.9017324447631836</v>
      </c>
      <c r="P91">
        <v>3</v>
      </c>
      <c r="Q91">
        <v>10</v>
      </c>
      <c r="R91">
        <v>10</v>
      </c>
      <c r="T91">
        <v>0.20689655840396881</v>
      </c>
      <c r="U91">
        <v>1</v>
      </c>
      <c r="V91">
        <v>0.73076921701431274</v>
      </c>
      <c r="W91">
        <v>0</v>
      </c>
      <c r="X91">
        <v>1</v>
      </c>
      <c r="Y91" t="s">
        <v>515</v>
      </c>
      <c r="Z91" t="s">
        <v>31</v>
      </c>
      <c r="AA91" t="s">
        <v>493</v>
      </c>
      <c r="AB91" t="s">
        <v>22</v>
      </c>
      <c r="AC91" t="s">
        <v>31</v>
      </c>
      <c r="AE91">
        <v>8.0614566802978516</v>
      </c>
      <c r="AF91">
        <v>9.5405540466308594</v>
      </c>
      <c r="AG91">
        <v>7.0203371047973633</v>
      </c>
      <c r="AH91">
        <v>10</v>
      </c>
      <c r="AI91">
        <v>10</v>
      </c>
    </row>
    <row r="92" spans="1:35" x14ac:dyDescent="0.25">
      <c r="A92" t="s">
        <v>372</v>
      </c>
      <c r="B92">
        <v>3900803306.4033422</v>
      </c>
      <c r="C92" t="s">
        <v>365</v>
      </c>
      <c r="E92">
        <v>77.900000000000006</v>
      </c>
      <c r="F92">
        <v>93.5</v>
      </c>
      <c r="H92">
        <v>4.7100000381469727</v>
      </c>
      <c r="I92">
        <v>5.6105127334594727</v>
      </c>
      <c r="J92">
        <v>0.49056604504585266</v>
      </c>
      <c r="K92" t="s">
        <v>512</v>
      </c>
      <c r="M92">
        <v>4.1394166946411133</v>
      </c>
      <c r="N92">
        <v>9.6026248931884766</v>
      </c>
      <c r="O92">
        <v>4.4764924049377441</v>
      </c>
      <c r="P92">
        <v>3</v>
      </c>
      <c r="Q92">
        <v>9.2156858444213867</v>
      </c>
      <c r="R92">
        <v>10</v>
      </c>
      <c r="T92">
        <v>0.36206895112991333</v>
      </c>
      <c r="U92">
        <v>1</v>
      </c>
      <c r="V92">
        <v>0.73076921701431274</v>
      </c>
      <c r="W92">
        <v>0</v>
      </c>
      <c r="X92">
        <v>1</v>
      </c>
      <c r="Y92" t="s">
        <v>496</v>
      </c>
      <c r="Z92" t="s">
        <v>31</v>
      </c>
      <c r="AA92" t="s">
        <v>493</v>
      </c>
      <c r="AB92" t="s">
        <v>22</v>
      </c>
      <c r="AC92" t="s">
        <v>31</v>
      </c>
      <c r="AE92">
        <v>5.2314071655273438</v>
      </c>
      <c r="AF92">
        <v>9.4370517730712891</v>
      </c>
      <c r="AG92">
        <v>3.5496597290039063</v>
      </c>
      <c r="AH92">
        <v>10</v>
      </c>
      <c r="AI92">
        <v>8.8888893127441406</v>
      </c>
    </row>
    <row r="93" spans="1:35" x14ac:dyDescent="0.25">
      <c r="A93" t="s">
        <v>373</v>
      </c>
      <c r="B93">
        <v>3826606900.6151924</v>
      </c>
      <c r="C93" t="s">
        <v>233</v>
      </c>
      <c r="E93">
        <v>47.9</v>
      </c>
      <c r="F93">
        <v>33.5</v>
      </c>
      <c r="H93">
        <v>3.6099998950958252</v>
      </c>
      <c r="I93">
        <v>2.2720568180084229</v>
      </c>
      <c r="J93">
        <v>0.1458333283662796</v>
      </c>
      <c r="K93" t="s">
        <v>171</v>
      </c>
      <c r="M93">
        <v>1.4079225063323975</v>
      </c>
      <c r="N93">
        <v>7.323427677154541</v>
      </c>
      <c r="O93">
        <v>1.0974937677383423</v>
      </c>
      <c r="P93">
        <v>1.5</v>
      </c>
      <c r="Q93">
        <v>0</v>
      </c>
      <c r="R93">
        <v>10</v>
      </c>
      <c r="T93">
        <v>0.2083333283662796</v>
      </c>
      <c r="U93">
        <v>0.5</v>
      </c>
      <c r="V93">
        <v>0</v>
      </c>
      <c r="W93">
        <v>0</v>
      </c>
      <c r="X93">
        <v>0</v>
      </c>
      <c r="Y93" t="s">
        <v>515</v>
      </c>
      <c r="Z93" t="s">
        <v>86</v>
      </c>
      <c r="AA93" t="s">
        <v>22</v>
      </c>
      <c r="AB93" t="s">
        <v>22</v>
      </c>
      <c r="AC93" t="s">
        <v>22</v>
      </c>
      <c r="AE93">
        <v>1.8708168268203735</v>
      </c>
      <c r="AF93">
        <v>9.0703926086425781</v>
      </c>
      <c r="AG93">
        <v>3.6583123207092285</v>
      </c>
      <c r="AH93">
        <v>5</v>
      </c>
      <c r="AI93">
        <v>0</v>
      </c>
    </row>
    <row r="94" spans="1:35" x14ac:dyDescent="0.25">
      <c r="A94" t="s">
        <v>374</v>
      </c>
      <c r="B94">
        <v>3757555400.7999992</v>
      </c>
      <c r="C94" t="s">
        <v>375</v>
      </c>
      <c r="E94">
        <v>16.2</v>
      </c>
      <c r="F94">
        <v>23.5</v>
      </c>
      <c r="H94">
        <v>2.4000000953674316</v>
      </c>
      <c r="I94">
        <v>1.6102819442749023</v>
      </c>
      <c r="J94">
        <v>0.1320754736661911</v>
      </c>
      <c r="K94" t="s">
        <v>498</v>
      </c>
      <c r="M94">
        <v>1.8771532773971558</v>
      </c>
      <c r="N94">
        <v>2.4774978160858154</v>
      </c>
      <c r="O94">
        <v>1.5</v>
      </c>
      <c r="P94">
        <v>1.5</v>
      </c>
      <c r="Q94">
        <v>0</v>
      </c>
      <c r="R94">
        <v>10</v>
      </c>
      <c r="T94">
        <v>0.24137930572032928</v>
      </c>
      <c r="U94">
        <v>0</v>
      </c>
      <c r="V94">
        <v>0</v>
      </c>
      <c r="W94">
        <v>0</v>
      </c>
      <c r="X94">
        <v>0</v>
      </c>
      <c r="Y94" t="s">
        <v>503</v>
      </c>
      <c r="Z94" t="s">
        <v>22</v>
      </c>
      <c r="AA94" t="s">
        <v>22</v>
      </c>
      <c r="AB94" t="s">
        <v>22</v>
      </c>
      <c r="AC94" t="s">
        <v>22</v>
      </c>
      <c r="AE94">
        <v>2.444542407989502</v>
      </c>
      <c r="AF94">
        <v>8.2583255767822266</v>
      </c>
      <c r="AG94">
        <v>5</v>
      </c>
      <c r="AH94">
        <v>5</v>
      </c>
      <c r="AI94">
        <v>0</v>
      </c>
    </row>
    <row r="95" spans="1:35" x14ac:dyDescent="0.25">
      <c r="A95" t="s">
        <v>376</v>
      </c>
      <c r="B95">
        <v>3461959919.8254757</v>
      </c>
      <c r="C95" t="s">
        <v>377</v>
      </c>
      <c r="E95">
        <v>64.099999999999994</v>
      </c>
      <c r="F95">
        <v>42.9</v>
      </c>
      <c r="H95">
        <v>4.0799999237060547</v>
      </c>
      <c r="I95">
        <v>2.6579442024230957</v>
      </c>
      <c r="J95">
        <v>0.3125</v>
      </c>
      <c r="K95" t="s">
        <v>509</v>
      </c>
      <c r="M95">
        <v>4.216641902923584</v>
      </c>
      <c r="N95">
        <v>3.478351354598999</v>
      </c>
      <c r="O95">
        <v>2.1956171989440918</v>
      </c>
      <c r="P95">
        <v>3</v>
      </c>
      <c r="Q95">
        <v>0</v>
      </c>
      <c r="R95">
        <v>10</v>
      </c>
      <c r="T95">
        <v>0.3541666567325592</v>
      </c>
      <c r="U95">
        <v>0.5</v>
      </c>
      <c r="V95">
        <v>0.3461538553237915</v>
      </c>
      <c r="W95">
        <v>0</v>
      </c>
      <c r="X95">
        <v>0</v>
      </c>
      <c r="Y95" t="s">
        <v>513</v>
      </c>
      <c r="Z95" t="s">
        <v>86</v>
      </c>
      <c r="AA95" t="s">
        <v>513</v>
      </c>
      <c r="AB95" t="s">
        <v>22</v>
      </c>
      <c r="AC95" t="s">
        <v>22</v>
      </c>
      <c r="AE95">
        <v>5.4078221321105957</v>
      </c>
      <c r="AF95">
        <v>3.3610367774963379</v>
      </c>
      <c r="AG95">
        <v>2.3075253963470459</v>
      </c>
      <c r="AH95">
        <v>10</v>
      </c>
      <c r="AI95">
        <v>0</v>
      </c>
    </row>
    <row r="96" spans="1:35" x14ac:dyDescent="0.25">
      <c r="A96" t="s">
        <v>378</v>
      </c>
      <c r="B96">
        <v>3350227831.4145136</v>
      </c>
      <c r="C96" t="s">
        <v>379</v>
      </c>
      <c r="E96">
        <v>72.900000000000006</v>
      </c>
      <c r="F96">
        <v>92.4</v>
      </c>
      <c r="H96">
        <v>4.4699997901916504</v>
      </c>
      <c r="I96">
        <v>5.2992854118347168</v>
      </c>
      <c r="J96">
        <v>0.38679245114326477</v>
      </c>
      <c r="K96" t="s">
        <v>520</v>
      </c>
      <c r="M96">
        <v>3.9846518039703369</v>
      </c>
      <c r="N96">
        <v>10</v>
      </c>
      <c r="O96">
        <v>2.356471061706543</v>
      </c>
      <c r="P96">
        <v>3</v>
      </c>
      <c r="Q96">
        <v>10</v>
      </c>
      <c r="R96">
        <v>10</v>
      </c>
      <c r="T96">
        <v>0.41379311680793762</v>
      </c>
      <c r="U96">
        <v>1</v>
      </c>
      <c r="V96">
        <v>0.19230769574642181</v>
      </c>
      <c r="W96">
        <v>0</v>
      </c>
      <c r="X96">
        <v>1</v>
      </c>
      <c r="Y96" t="s">
        <v>491</v>
      </c>
      <c r="Z96" t="s">
        <v>31</v>
      </c>
      <c r="AA96" t="s">
        <v>508</v>
      </c>
      <c r="AB96" t="s">
        <v>22</v>
      </c>
      <c r="AC96" t="s">
        <v>31</v>
      </c>
      <c r="AE96">
        <v>4.6446051597595215</v>
      </c>
      <c r="AF96">
        <v>10</v>
      </c>
      <c r="AG96">
        <v>3.6074142456054688</v>
      </c>
      <c r="AH96">
        <v>10</v>
      </c>
      <c r="AI96">
        <v>10</v>
      </c>
    </row>
    <row r="97" spans="1:35" x14ac:dyDescent="0.25">
      <c r="A97" t="s">
        <v>380</v>
      </c>
      <c r="B97">
        <v>3327428123.3428736</v>
      </c>
      <c r="C97" t="s">
        <v>295</v>
      </c>
      <c r="E97">
        <v>40.6</v>
      </c>
      <c r="F97">
        <v>64.099999999999994</v>
      </c>
      <c r="H97">
        <v>3.2799999713897705</v>
      </c>
      <c r="I97">
        <v>3.6773543357849121</v>
      </c>
      <c r="J97">
        <v>0.49056604504585266</v>
      </c>
      <c r="K97" t="s">
        <v>512</v>
      </c>
      <c r="M97">
        <v>4.9019002914428711</v>
      </c>
      <c r="N97">
        <v>3.478351354598999</v>
      </c>
      <c r="O97">
        <v>8.8425416946411133</v>
      </c>
      <c r="P97">
        <v>3</v>
      </c>
      <c r="Q97">
        <v>0</v>
      </c>
      <c r="R97">
        <v>10</v>
      </c>
      <c r="T97">
        <v>0.41379311680793762</v>
      </c>
      <c r="U97">
        <v>0.5</v>
      </c>
      <c r="V97">
        <v>0.92307692766189575</v>
      </c>
      <c r="W97">
        <v>0</v>
      </c>
      <c r="X97">
        <v>0</v>
      </c>
      <c r="Y97" t="s">
        <v>491</v>
      </c>
      <c r="Z97" t="s">
        <v>86</v>
      </c>
      <c r="AA97" t="s">
        <v>221</v>
      </c>
      <c r="AB97" t="s">
        <v>22</v>
      </c>
      <c r="AC97" t="s">
        <v>22</v>
      </c>
      <c r="AE97">
        <v>6.0409379005432129</v>
      </c>
      <c r="AF97">
        <v>3.3610367774963379</v>
      </c>
      <c r="AG97">
        <v>8.7490749359130859</v>
      </c>
      <c r="AH97">
        <v>10</v>
      </c>
      <c r="AI97">
        <v>0</v>
      </c>
    </row>
    <row r="98" spans="1:35" x14ac:dyDescent="0.25">
      <c r="A98" t="s">
        <v>381</v>
      </c>
      <c r="B98">
        <v>3026108176.5954762</v>
      </c>
      <c r="C98" t="s">
        <v>224</v>
      </c>
      <c r="E98">
        <v>78.8</v>
      </c>
      <c r="F98">
        <v>80</v>
      </c>
      <c r="H98">
        <v>4.7600002288818359</v>
      </c>
      <c r="I98">
        <v>4.379094123840332</v>
      </c>
      <c r="J98">
        <v>0.42452830076217651</v>
      </c>
      <c r="K98" t="s">
        <v>522</v>
      </c>
      <c r="M98">
        <v>1.471253514289856</v>
      </c>
      <c r="N98">
        <v>9.675684928894043</v>
      </c>
      <c r="O98">
        <v>4.323793888092041</v>
      </c>
      <c r="P98">
        <v>1.5</v>
      </c>
      <c r="Q98">
        <v>10</v>
      </c>
      <c r="R98">
        <v>0</v>
      </c>
      <c r="T98">
        <v>0.24137930572032928</v>
      </c>
      <c r="U98">
        <v>1</v>
      </c>
      <c r="V98">
        <v>0.73076921701431274</v>
      </c>
      <c r="W98">
        <v>0</v>
      </c>
      <c r="X98">
        <v>1</v>
      </c>
      <c r="Y98" t="s">
        <v>503</v>
      </c>
      <c r="Z98" t="s">
        <v>31</v>
      </c>
      <c r="AA98" t="s">
        <v>493</v>
      </c>
      <c r="AB98" t="s">
        <v>22</v>
      </c>
      <c r="AC98" t="s">
        <v>31</v>
      </c>
      <c r="AE98">
        <v>1.7722320556640625</v>
      </c>
      <c r="AF98">
        <v>9.5405540466308594</v>
      </c>
      <c r="AG98">
        <v>3.3311388492584229</v>
      </c>
      <c r="AH98">
        <v>5</v>
      </c>
      <c r="AI98">
        <v>10</v>
      </c>
    </row>
    <row r="99" spans="1:35" x14ac:dyDescent="0.25">
      <c r="A99" t="s">
        <v>383</v>
      </c>
      <c r="B99">
        <v>3023038097.0693979</v>
      </c>
      <c r="C99" t="s">
        <v>248</v>
      </c>
      <c r="E99">
        <v>60.6</v>
      </c>
      <c r="F99">
        <v>38.200000000000003</v>
      </c>
      <c r="H99">
        <v>4</v>
      </c>
      <c r="I99">
        <v>2.4392023086547852</v>
      </c>
      <c r="J99">
        <v>0.41509434580802917</v>
      </c>
      <c r="K99" t="s">
        <v>522</v>
      </c>
      <c r="M99">
        <v>5.5588526725769043</v>
      </c>
      <c r="N99">
        <v>3.478351354598999</v>
      </c>
      <c r="O99">
        <v>4.4002895355224609</v>
      </c>
      <c r="P99">
        <v>1.5</v>
      </c>
      <c r="Q99">
        <v>0</v>
      </c>
      <c r="R99">
        <v>0</v>
      </c>
      <c r="T99">
        <v>0.36206895112991333</v>
      </c>
      <c r="U99">
        <v>0.5</v>
      </c>
      <c r="V99">
        <v>0.73076921701431274</v>
      </c>
      <c r="W99">
        <v>0</v>
      </c>
      <c r="X99">
        <v>0</v>
      </c>
      <c r="Y99" t="s">
        <v>496</v>
      </c>
      <c r="Z99" t="s">
        <v>86</v>
      </c>
      <c r="AA99" t="s">
        <v>493</v>
      </c>
      <c r="AB99" t="s">
        <v>22</v>
      </c>
      <c r="AC99" t="s">
        <v>22</v>
      </c>
      <c r="AE99">
        <v>7.434542179107666</v>
      </c>
      <c r="AF99">
        <v>3.3610367774963379</v>
      </c>
      <c r="AG99">
        <v>3.4406085014343262</v>
      </c>
      <c r="AH99">
        <v>5</v>
      </c>
      <c r="AI99">
        <v>0</v>
      </c>
    </row>
    <row r="100" spans="1:35" x14ac:dyDescent="0.25">
      <c r="A100" t="s">
        <v>384</v>
      </c>
      <c r="B100">
        <v>2990337359.4348588</v>
      </c>
      <c r="C100" t="s">
        <v>385</v>
      </c>
      <c r="E100">
        <v>18.5</v>
      </c>
      <c r="F100">
        <v>22.9</v>
      </c>
      <c r="H100">
        <v>2.4700000286102295</v>
      </c>
      <c r="I100">
        <v>1.5621775388717651</v>
      </c>
      <c r="J100">
        <v>0.24528302252292633</v>
      </c>
      <c r="K100" t="s">
        <v>504</v>
      </c>
      <c r="M100">
        <v>2.8424921035766602</v>
      </c>
      <c r="N100">
        <v>0.7653312087059021</v>
      </c>
      <c r="O100">
        <v>4.323793888092041</v>
      </c>
      <c r="P100">
        <v>1.5</v>
      </c>
      <c r="Q100">
        <v>0</v>
      </c>
      <c r="R100">
        <v>0</v>
      </c>
      <c r="T100">
        <v>0.12068965286016464</v>
      </c>
      <c r="U100">
        <v>0</v>
      </c>
      <c r="V100">
        <v>0.73076921701431274</v>
      </c>
      <c r="W100">
        <v>0</v>
      </c>
      <c r="X100">
        <v>0</v>
      </c>
      <c r="Y100" t="s">
        <v>531</v>
      </c>
      <c r="Z100" t="s">
        <v>22</v>
      </c>
      <c r="AA100" t="s">
        <v>493</v>
      </c>
      <c r="AB100" t="s">
        <v>22</v>
      </c>
      <c r="AC100" t="s">
        <v>22</v>
      </c>
      <c r="AE100">
        <v>5.1669626235961914</v>
      </c>
      <c r="AF100">
        <v>2.5511040687561035</v>
      </c>
      <c r="AG100">
        <v>3.3311388492584229</v>
      </c>
      <c r="AH100">
        <v>5</v>
      </c>
      <c r="AI100">
        <v>0</v>
      </c>
    </row>
    <row r="101" spans="1:35" x14ac:dyDescent="0.25">
      <c r="A101" t="s">
        <v>386</v>
      </c>
      <c r="B101">
        <v>2936568348.0589356</v>
      </c>
      <c r="C101" t="s">
        <v>243</v>
      </c>
      <c r="E101">
        <v>38.200000000000003</v>
      </c>
      <c r="F101">
        <v>82.9</v>
      </c>
      <c r="H101">
        <v>3.2000000476837158</v>
      </c>
      <c r="I101">
        <v>4.4696950912475586</v>
      </c>
      <c r="J101">
        <v>0.42452830076217651</v>
      </c>
      <c r="K101" t="s">
        <v>522</v>
      </c>
      <c r="M101">
        <v>1.9330630302429199</v>
      </c>
      <c r="N101">
        <v>9.675684928894043</v>
      </c>
      <c r="O101">
        <v>4.4002895355224609</v>
      </c>
      <c r="P101">
        <v>1.5</v>
      </c>
      <c r="Q101">
        <v>10</v>
      </c>
      <c r="R101">
        <v>0</v>
      </c>
      <c r="T101">
        <v>0.24137930572032928</v>
      </c>
      <c r="U101">
        <v>1</v>
      </c>
      <c r="V101">
        <v>0.73076921701431274</v>
      </c>
      <c r="W101">
        <v>0</v>
      </c>
      <c r="X101">
        <v>1</v>
      </c>
      <c r="Y101" t="s">
        <v>503</v>
      </c>
      <c r="Z101" t="s">
        <v>31</v>
      </c>
      <c r="AA101" t="s">
        <v>493</v>
      </c>
      <c r="AB101" t="s">
        <v>22</v>
      </c>
      <c r="AC101" t="s">
        <v>31</v>
      </c>
      <c r="AE101">
        <v>2.5371482372283936</v>
      </c>
      <c r="AF101">
        <v>9.5405540466308594</v>
      </c>
      <c r="AG101">
        <v>3.4406085014343262</v>
      </c>
      <c r="AH101">
        <v>5</v>
      </c>
      <c r="AI101">
        <v>10</v>
      </c>
    </row>
    <row r="102" spans="1:35" x14ac:dyDescent="0.25">
      <c r="A102" t="s">
        <v>387</v>
      </c>
      <c r="B102">
        <v>2898620309.9905868</v>
      </c>
      <c r="C102" t="s">
        <v>313</v>
      </c>
      <c r="E102">
        <v>3.5</v>
      </c>
      <c r="F102">
        <v>8.8000000000000007</v>
      </c>
      <c r="H102">
        <v>1.1399999856948853</v>
      </c>
      <c r="I102">
        <v>0.81029301881790161</v>
      </c>
      <c r="J102">
        <v>0</v>
      </c>
      <c r="K102" t="s">
        <v>22</v>
      </c>
      <c r="M102">
        <v>0.59242343902587891</v>
      </c>
      <c r="N102">
        <v>1.0974937677383423</v>
      </c>
      <c r="O102">
        <v>0.31812429428100586</v>
      </c>
      <c r="P102">
        <v>1.5</v>
      </c>
      <c r="Q102">
        <v>0</v>
      </c>
      <c r="R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22</v>
      </c>
      <c r="Z102" t="s">
        <v>22</v>
      </c>
      <c r="AA102" t="s">
        <v>22</v>
      </c>
      <c r="AB102" t="s">
        <v>22</v>
      </c>
      <c r="AC102" t="s">
        <v>22</v>
      </c>
      <c r="AE102">
        <v>1.9747449159622192</v>
      </c>
      <c r="AF102">
        <v>3.6583123207092285</v>
      </c>
      <c r="AG102">
        <v>1.0604143142700195</v>
      </c>
      <c r="AH102">
        <v>5</v>
      </c>
      <c r="AI102">
        <v>0</v>
      </c>
    </row>
    <row r="103" spans="1:35" x14ac:dyDescent="0.25">
      <c r="A103" t="s">
        <v>388</v>
      </c>
      <c r="B103">
        <v>2846847294.5132127</v>
      </c>
      <c r="C103" t="s">
        <v>224</v>
      </c>
      <c r="E103">
        <v>44.1</v>
      </c>
      <c r="F103">
        <v>61.2</v>
      </c>
      <c r="H103">
        <v>3.4100000858306885</v>
      </c>
      <c r="I103">
        <v>3.4312207698822021</v>
      </c>
      <c r="J103">
        <v>0.34905660152435303</v>
      </c>
      <c r="K103" t="s">
        <v>513</v>
      </c>
      <c r="M103">
        <v>3.6786134243011475</v>
      </c>
      <c r="N103">
        <v>9.343806266784668</v>
      </c>
      <c r="O103">
        <v>4.323793888092041</v>
      </c>
      <c r="P103">
        <v>1.5</v>
      </c>
      <c r="Q103">
        <v>0</v>
      </c>
      <c r="R103">
        <v>10</v>
      </c>
      <c r="T103">
        <v>0.17241379618644714</v>
      </c>
      <c r="U103">
        <v>1</v>
      </c>
      <c r="V103">
        <v>0.73076921701431274</v>
      </c>
      <c r="W103">
        <v>0</v>
      </c>
      <c r="X103">
        <v>0</v>
      </c>
      <c r="Y103" t="s">
        <v>499</v>
      </c>
      <c r="Z103" t="s">
        <v>31</v>
      </c>
      <c r="AA103" t="s">
        <v>493</v>
      </c>
      <c r="AB103" t="s">
        <v>22</v>
      </c>
      <c r="AC103" t="s">
        <v>22</v>
      </c>
      <c r="AE103">
        <v>6.0920686721801758</v>
      </c>
      <c r="AF103">
        <v>9.0703926086425781</v>
      </c>
      <c r="AG103">
        <v>3.3311388492584229</v>
      </c>
      <c r="AH103">
        <v>5</v>
      </c>
      <c r="AI103">
        <v>0</v>
      </c>
    </row>
    <row r="104" spans="1:35" x14ac:dyDescent="0.25">
      <c r="A104" t="s">
        <v>389</v>
      </c>
      <c r="B104">
        <v>2773013491.7916679</v>
      </c>
      <c r="C104" t="s">
        <v>370</v>
      </c>
      <c r="E104">
        <v>83.2</v>
      </c>
      <c r="F104">
        <v>68.8</v>
      </c>
      <c r="H104">
        <v>4.940000057220459</v>
      </c>
      <c r="I104">
        <v>3.9859066009521484</v>
      </c>
      <c r="J104">
        <v>0.2604166567325592</v>
      </c>
      <c r="K104" t="s">
        <v>530</v>
      </c>
      <c r="M104">
        <v>4.903538703918457</v>
      </c>
      <c r="N104">
        <v>7.9494895935058594</v>
      </c>
      <c r="O104">
        <v>1.5</v>
      </c>
      <c r="P104">
        <v>3</v>
      </c>
      <c r="Q104">
        <v>3</v>
      </c>
      <c r="R104">
        <v>10</v>
      </c>
      <c r="T104">
        <v>0.4375</v>
      </c>
      <c r="U104">
        <v>0.5</v>
      </c>
      <c r="V104">
        <v>0</v>
      </c>
      <c r="W104">
        <v>0</v>
      </c>
      <c r="X104">
        <v>0</v>
      </c>
      <c r="Y104" t="s">
        <v>26</v>
      </c>
      <c r="Z104" t="s">
        <v>86</v>
      </c>
      <c r="AA104" t="s">
        <v>22</v>
      </c>
      <c r="AB104" t="s">
        <v>22</v>
      </c>
      <c r="AC104" t="s">
        <v>22</v>
      </c>
      <c r="AE104">
        <v>5.8815770149230957</v>
      </c>
      <c r="AF104">
        <v>10</v>
      </c>
      <c r="AG104">
        <v>5</v>
      </c>
      <c r="AH104">
        <v>10</v>
      </c>
      <c r="AI104">
        <v>10</v>
      </c>
    </row>
    <row r="105" spans="1:35" x14ac:dyDescent="0.25">
      <c r="A105" t="s">
        <v>333</v>
      </c>
      <c r="B105">
        <v>2749329997.1854086</v>
      </c>
      <c r="C105" t="s">
        <v>219</v>
      </c>
      <c r="E105">
        <v>25.9</v>
      </c>
      <c r="F105">
        <v>44.7</v>
      </c>
      <c r="H105">
        <v>2.7599999904632568</v>
      </c>
      <c r="I105">
        <v>2.7670409679412842</v>
      </c>
      <c r="J105">
        <v>0.34905660152435303</v>
      </c>
      <c r="K105" t="s">
        <v>513</v>
      </c>
      <c r="M105">
        <v>1.8048516511917114</v>
      </c>
      <c r="N105">
        <v>7.6400671005249023</v>
      </c>
      <c r="O105">
        <v>4.4764924049377441</v>
      </c>
      <c r="P105">
        <v>1.5</v>
      </c>
      <c r="Q105">
        <v>0</v>
      </c>
      <c r="R105">
        <v>0</v>
      </c>
      <c r="T105">
        <v>0.24137930572032928</v>
      </c>
      <c r="U105">
        <v>0.5</v>
      </c>
      <c r="V105">
        <v>0.73076921701431274</v>
      </c>
      <c r="W105">
        <v>0</v>
      </c>
      <c r="X105">
        <v>0</v>
      </c>
      <c r="Y105" t="s">
        <v>503</v>
      </c>
      <c r="Z105" t="s">
        <v>86</v>
      </c>
      <c r="AA105" t="s">
        <v>493</v>
      </c>
      <c r="AB105" t="s">
        <v>22</v>
      </c>
      <c r="AC105" t="s">
        <v>22</v>
      </c>
      <c r="AE105">
        <v>2.3247859477996826</v>
      </c>
      <c r="AF105">
        <v>9.5405540466308594</v>
      </c>
      <c r="AG105">
        <v>3.5496597290039063</v>
      </c>
      <c r="AH105">
        <v>5</v>
      </c>
      <c r="AI105">
        <v>0</v>
      </c>
    </row>
    <row r="106" spans="1:35" x14ac:dyDescent="0.25">
      <c r="A106" t="s">
        <v>390</v>
      </c>
      <c r="B106">
        <v>2720560626.5784864</v>
      </c>
      <c r="C106" t="s">
        <v>325</v>
      </c>
      <c r="E106">
        <v>34.4</v>
      </c>
      <c r="F106">
        <v>31.8</v>
      </c>
      <c r="H106">
        <v>3.0899999141693115</v>
      </c>
      <c r="I106">
        <v>2.1864941120147705</v>
      </c>
      <c r="J106">
        <v>0.31132075190544128</v>
      </c>
      <c r="K106" t="s">
        <v>509</v>
      </c>
      <c r="M106">
        <v>2.7831747531890869</v>
      </c>
      <c r="N106">
        <v>0.7653312087059021</v>
      </c>
      <c r="O106">
        <v>4.4002895355224609</v>
      </c>
      <c r="P106">
        <v>3</v>
      </c>
      <c r="Q106">
        <v>0</v>
      </c>
      <c r="R106">
        <v>10</v>
      </c>
      <c r="T106">
        <v>0.24137930572032928</v>
      </c>
      <c r="U106">
        <v>0</v>
      </c>
      <c r="V106">
        <v>0.73076921701431274</v>
      </c>
      <c r="W106">
        <v>0</v>
      </c>
      <c r="X106">
        <v>0</v>
      </c>
      <c r="Y106" t="s">
        <v>503</v>
      </c>
      <c r="Z106" t="s">
        <v>22</v>
      </c>
      <c r="AA106" t="s">
        <v>493</v>
      </c>
      <c r="AB106" t="s">
        <v>22</v>
      </c>
      <c r="AC106" t="s">
        <v>22</v>
      </c>
      <c r="AE106">
        <v>3.9452273845672607</v>
      </c>
      <c r="AF106">
        <v>2.5511040687561035</v>
      </c>
      <c r="AG106">
        <v>3.4406085014343262</v>
      </c>
      <c r="AH106">
        <v>10</v>
      </c>
      <c r="AI106">
        <v>0</v>
      </c>
    </row>
    <row r="107" spans="1:35" x14ac:dyDescent="0.25">
      <c r="A107" t="s">
        <v>391</v>
      </c>
      <c r="B107">
        <v>2665880912.3194089</v>
      </c>
      <c r="C107" t="s">
        <v>392</v>
      </c>
      <c r="E107">
        <v>68.8</v>
      </c>
      <c r="F107">
        <v>56.5</v>
      </c>
      <c r="H107">
        <v>4.3299999237060547</v>
      </c>
      <c r="I107">
        <v>3.2438137531280518</v>
      </c>
      <c r="J107">
        <v>0.36792454123497009</v>
      </c>
      <c r="K107" t="s">
        <v>514</v>
      </c>
      <c r="M107">
        <v>2.910693883895874</v>
      </c>
      <c r="N107">
        <v>10</v>
      </c>
      <c r="O107">
        <v>4.4002895355224609</v>
      </c>
      <c r="P107">
        <v>1.5</v>
      </c>
      <c r="Q107">
        <v>0</v>
      </c>
      <c r="R107">
        <v>0</v>
      </c>
      <c r="T107">
        <v>0.20689655840396881</v>
      </c>
      <c r="U107">
        <v>1</v>
      </c>
      <c r="V107">
        <v>0.73076921701431274</v>
      </c>
      <c r="W107">
        <v>0</v>
      </c>
      <c r="X107">
        <v>0</v>
      </c>
      <c r="Y107" t="s">
        <v>515</v>
      </c>
      <c r="Z107" t="s">
        <v>31</v>
      </c>
      <c r="AA107" t="s">
        <v>493</v>
      </c>
      <c r="AB107" t="s">
        <v>22</v>
      </c>
      <c r="AC107" t="s">
        <v>22</v>
      </c>
      <c r="AE107">
        <v>4.4350967407226563</v>
      </c>
      <c r="AF107">
        <v>10</v>
      </c>
      <c r="AG107">
        <v>3.4406085014343262</v>
      </c>
      <c r="AH107">
        <v>5</v>
      </c>
      <c r="AI107">
        <v>0</v>
      </c>
    </row>
    <row r="108" spans="1:35" x14ac:dyDescent="0.25">
      <c r="A108" t="s">
        <v>393</v>
      </c>
      <c r="B108">
        <v>2637081737.3199997</v>
      </c>
      <c r="C108" t="s">
        <v>229</v>
      </c>
      <c r="E108">
        <v>41.8</v>
      </c>
      <c r="F108">
        <v>15.9</v>
      </c>
      <c r="H108">
        <v>3.2999999523162842</v>
      </c>
      <c r="I108">
        <v>1.2161118984222412</v>
      </c>
      <c r="J108">
        <v>6.6037736833095551E-2</v>
      </c>
      <c r="K108" t="s">
        <v>532</v>
      </c>
      <c r="M108">
        <v>0.96382039785385132</v>
      </c>
      <c r="N108">
        <v>0.7653312087059021</v>
      </c>
      <c r="O108">
        <v>0.59242343902587891</v>
      </c>
      <c r="P108">
        <v>3</v>
      </c>
      <c r="Q108">
        <v>0</v>
      </c>
      <c r="R108">
        <v>0</v>
      </c>
      <c r="T108">
        <v>0.12068965286016464</v>
      </c>
      <c r="U108">
        <v>0</v>
      </c>
      <c r="V108">
        <v>0</v>
      </c>
      <c r="W108">
        <v>0</v>
      </c>
      <c r="X108">
        <v>0</v>
      </c>
      <c r="Y108" t="s">
        <v>531</v>
      </c>
      <c r="Z108" t="s">
        <v>22</v>
      </c>
      <c r="AA108" t="s">
        <v>22</v>
      </c>
      <c r="AB108" t="s">
        <v>22</v>
      </c>
      <c r="AC108" t="s">
        <v>22</v>
      </c>
      <c r="AE108">
        <v>1.6593937873840332</v>
      </c>
      <c r="AF108">
        <v>2.5511040687561035</v>
      </c>
      <c r="AG108">
        <v>1.9747449159622192</v>
      </c>
      <c r="AH108">
        <v>10</v>
      </c>
      <c r="AI108">
        <v>0</v>
      </c>
    </row>
    <row r="109" spans="1:35" x14ac:dyDescent="0.25">
      <c r="A109" t="s">
        <v>394</v>
      </c>
      <c r="B109">
        <v>2426297710.4471602</v>
      </c>
      <c r="C109" t="s">
        <v>395</v>
      </c>
      <c r="E109">
        <v>70.900000000000006</v>
      </c>
      <c r="F109">
        <v>58.8</v>
      </c>
      <c r="H109">
        <v>4.3600001335144043</v>
      </c>
      <c r="I109">
        <v>3.2977356910705566</v>
      </c>
      <c r="J109">
        <v>0.32075470685958862</v>
      </c>
      <c r="K109" t="s">
        <v>516</v>
      </c>
      <c r="M109">
        <v>4.2878570556640625</v>
      </c>
      <c r="N109">
        <v>9.2868070602416992</v>
      </c>
      <c r="O109">
        <v>0.59242343902587891</v>
      </c>
      <c r="P109">
        <v>3</v>
      </c>
      <c r="Q109">
        <v>0</v>
      </c>
      <c r="R109">
        <v>10</v>
      </c>
      <c r="T109">
        <v>0.4482758641242981</v>
      </c>
      <c r="U109">
        <v>1</v>
      </c>
      <c r="V109">
        <v>0</v>
      </c>
      <c r="W109">
        <v>0</v>
      </c>
      <c r="X109">
        <v>0</v>
      </c>
      <c r="Y109" t="s">
        <v>494</v>
      </c>
      <c r="Z109" t="s">
        <v>31</v>
      </c>
      <c r="AA109" t="s">
        <v>22</v>
      </c>
      <c r="AB109" t="s">
        <v>22</v>
      </c>
      <c r="AC109" t="s">
        <v>22</v>
      </c>
      <c r="AE109">
        <v>4.8824601173400879</v>
      </c>
      <c r="AF109">
        <v>8.9896440505981445</v>
      </c>
      <c r="AG109">
        <v>1.9747449159622192</v>
      </c>
      <c r="AH109">
        <v>10</v>
      </c>
      <c r="AI109">
        <v>0</v>
      </c>
    </row>
    <row r="110" spans="1:35" x14ac:dyDescent="0.25">
      <c r="A110" t="s">
        <v>396</v>
      </c>
      <c r="B110">
        <v>2367151657.3222589</v>
      </c>
      <c r="C110" t="s">
        <v>395</v>
      </c>
      <c r="E110">
        <v>89.4</v>
      </c>
      <c r="F110">
        <v>64.7</v>
      </c>
      <c r="H110">
        <v>5.3899998664855957</v>
      </c>
      <c r="I110">
        <v>3.7405812740325928</v>
      </c>
      <c r="J110">
        <v>0.16981132328510284</v>
      </c>
      <c r="K110" t="s">
        <v>499</v>
      </c>
      <c r="M110">
        <v>5.5258269309997559</v>
      </c>
      <c r="N110">
        <v>2.4774978160858154</v>
      </c>
      <c r="O110">
        <v>1.9066153764724731</v>
      </c>
      <c r="P110">
        <v>3</v>
      </c>
      <c r="Q110">
        <v>9.2156858444213867</v>
      </c>
      <c r="R110">
        <v>10</v>
      </c>
      <c r="T110">
        <v>0.15517240762710571</v>
      </c>
      <c r="U110">
        <v>0</v>
      </c>
      <c r="V110">
        <v>0.19230769574642181</v>
      </c>
      <c r="W110">
        <v>0</v>
      </c>
      <c r="X110">
        <v>1</v>
      </c>
      <c r="Y110" t="s">
        <v>502</v>
      </c>
      <c r="Z110" t="s">
        <v>22</v>
      </c>
      <c r="AA110" t="s">
        <v>508</v>
      </c>
      <c r="AB110" t="s">
        <v>22</v>
      </c>
      <c r="AC110" t="s">
        <v>31</v>
      </c>
      <c r="AE110">
        <v>9.5885791778564453</v>
      </c>
      <c r="AF110">
        <v>8.2583255767822266</v>
      </c>
      <c r="AG110">
        <v>2.832737922668457</v>
      </c>
      <c r="AH110">
        <v>10</v>
      </c>
      <c r="AI110">
        <v>8.8888893127441406</v>
      </c>
    </row>
    <row r="111" spans="1:35" x14ac:dyDescent="0.25">
      <c r="A111" t="s">
        <v>397</v>
      </c>
      <c r="B111">
        <v>2360676673.4792643</v>
      </c>
      <c r="C111" t="s">
        <v>224</v>
      </c>
      <c r="E111">
        <v>17.600000000000001</v>
      </c>
      <c r="F111">
        <v>9.4</v>
      </c>
      <c r="H111">
        <v>2.440000057220459</v>
      </c>
      <c r="I111">
        <v>0.83220338821411133</v>
      </c>
      <c r="J111">
        <v>0.27358490228652954</v>
      </c>
      <c r="K111" t="s">
        <v>533</v>
      </c>
      <c r="M111">
        <v>1.9538366794586182</v>
      </c>
      <c r="N111">
        <v>0.41224989295005798</v>
      </c>
      <c r="O111">
        <v>4.323793888092041</v>
      </c>
      <c r="P111">
        <v>0</v>
      </c>
      <c r="Q111">
        <v>0</v>
      </c>
      <c r="R111">
        <v>0</v>
      </c>
      <c r="T111">
        <v>0.17241379618644714</v>
      </c>
      <c r="U111">
        <v>0</v>
      </c>
      <c r="V111">
        <v>0.73076921701431274</v>
      </c>
      <c r="W111">
        <v>0</v>
      </c>
      <c r="X111">
        <v>0</v>
      </c>
      <c r="Y111" t="s">
        <v>499</v>
      </c>
      <c r="Z111" t="s">
        <v>22</v>
      </c>
      <c r="AA111" t="s">
        <v>493</v>
      </c>
      <c r="AB111" t="s">
        <v>22</v>
      </c>
      <c r="AC111" t="s">
        <v>22</v>
      </c>
      <c r="AE111">
        <v>3.0650634765625</v>
      </c>
      <c r="AF111">
        <v>1.3741663694381714</v>
      </c>
      <c r="AG111">
        <v>3.3311388492584229</v>
      </c>
      <c r="AH111">
        <v>0</v>
      </c>
      <c r="AI111">
        <v>0</v>
      </c>
    </row>
    <row r="112" spans="1:35" x14ac:dyDescent="0.25">
      <c r="A112" t="s">
        <v>398</v>
      </c>
      <c r="B112">
        <v>2324497785.4563756</v>
      </c>
      <c r="C112" t="s">
        <v>340</v>
      </c>
      <c r="E112">
        <v>32.9</v>
      </c>
      <c r="F112">
        <v>17.100000000000001</v>
      </c>
      <c r="H112">
        <v>3</v>
      </c>
      <c r="I112">
        <v>1.2311509847640991</v>
      </c>
      <c r="J112">
        <v>1.8867924809455872E-2</v>
      </c>
      <c r="K112" t="s">
        <v>534</v>
      </c>
      <c r="M112">
        <v>1.3854134082794189</v>
      </c>
      <c r="N112">
        <v>2.4774978160858154</v>
      </c>
      <c r="O112">
        <v>0.59242343902587891</v>
      </c>
      <c r="P112">
        <v>1.5</v>
      </c>
      <c r="Q112">
        <v>0</v>
      </c>
      <c r="R112">
        <v>0</v>
      </c>
      <c r="T112">
        <v>3.4482758492231369E-2</v>
      </c>
      <c r="U112">
        <v>0</v>
      </c>
      <c r="V112">
        <v>0</v>
      </c>
      <c r="W112">
        <v>0</v>
      </c>
      <c r="X112">
        <v>0</v>
      </c>
      <c r="Y112" t="s">
        <v>535</v>
      </c>
      <c r="Z112" t="s">
        <v>22</v>
      </c>
      <c r="AA112" t="s">
        <v>22</v>
      </c>
      <c r="AB112" t="s">
        <v>22</v>
      </c>
      <c r="AC112" t="s">
        <v>22</v>
      </c>
      <c r="AE112">
        <v>3.3610367774963379</v>
      </c>
      <c r="AF112">
        <v>8.2583255767822266</v>
      </c>
      <c r="AG112">
        <v>1.9747449159622192</v>
      </c>
      <c r="AH112">
        <v>5</v>
      </c>
      <c r="AI112">
        <v>0</v>
      </c>
    </row>
    <row r="113" spans="1:35" x14ac:dyDescent="0.25">
      <c r="A113" t="s">
        <v>399</v>
      </c>
      <c r="B113">
        <v>2304188601.0532746</v>
      </c>
      <c r="C113" t="s">
        <v>260</v>
      </c>
      <c r="E113">
        <v>5.9</v>
      </c>
      <c r="F113">
        <v>1.2</v>
      </c>
      <c r="H113">
        <v>1.2699999809265137</v>
      </c>
      <c r="I113">
        <v>0.2805686891078949</v>
      </c>
      <c r="J113">
        <v>0</v>
      </c>
      <c r="K113" t="s">
        <v>22</v>
      </c>
      <c r="M113">
        <v>0.59242343902587891</v>
      </c>
      <c r="N113">
        <v>0.7653312087059021</v>
      </c>
      <c r="O113">
        <v>0.31812429428100586</v>
      </c>
      <c r="P113">
        <v>0</v>
      </c>
      <c r="Q113">
        <v>0</v>
      </c>
      <c r="R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22</v>
      </c>
      <c r="Z113" t="s">
        <v>22</v>
      </c>
      <c r="AA113" t="s">
        <v>22</v>
      </c>
      <c r="AB113" t="s">
        <v>22</v>
      </c>
      <c r="AC113" t="s">
        <v>22</v>
      </c>
      <c r="AE113">
        <v>1.9747449159622192</v>
      </c>
      <c r="AF113">
        <v>2.5511040687561035</v>
      </c>
      <c r="AG113">
        <v>1.0604143142700195</v>
      </c>
      <c r="AH113">
        <v>0</v>
      </c>
      <c r="AI113">
        <v>0</v>
      </c>
    </row>
    <row r="114" spans="1:35" x14ac:dyDescent="0.25">
      <c r="A114" t="s">
        <v>400</v>
      </c>
      <c r="B114">
        <v>2068086269.5609322</v>
      </c>
      <c r="C114" t="s">
        <v>401</v>
      </c>
      <c r="E114">
        <v>47.9</v>
      </c>
      <c r="F114">
        <v>57.6</v>
      </c>
      <c r="H114">
        <v>3.6099998950958252</v>
      </c>
      <c r="I114">
        <v>3.273850679397583</v>
      </c>
      <c r="J114">
        <v>0.40566039085388184</v>
      </c>
      <c r="K114" t="s">
        <v>491</v>
      </c>
      <c r="M114">
        <v>3.1582887172698975</v>
      </c>
      <c r="N114">
        <v>10</v>
      </c>
      <c r="O114">
        <v>4.4002895355224609</v>
      </c>
      <c r="P114">
        <v>1.5</v>
      </c>
      <c r="Q114">
        <v>0</v>
      </c>
      <c r="R114">
        <v>0</v>
      </c>
      <c r="T114">
        <v>0.27586206793785095</v>
      </c>
      <c r="U114">
        <v>1</v>
      </c>
      <c r="V114">
        <v>0.73076921701431274</v>
      </c>
      <c r="W114">
        <v>0</v>
      </c>
      <c r="X114">
        <v>0</v>
      </c>
      <c r="Y114" t="s">
        <v>492</v>
      </c>
      <c r="Z114" t="s">
        <v>31</v>
      </c>
      <c r="AA114" t="s">
        <v>493</v>
      </c>
      <c r="AB114" t="s">
        <v>22</v>
      </c>
      <c r="AC114" t="s">
        <v>22</v>
      </c>
      <c r="AE114">
        <v>4.3010907173156738</v>
      </c>
      <c r="AF114">
        <v>10</v>
      </c>
      <c r="AG114">
        <v>3.4406085014343262</v>
      </c>
      <c r="AH114">
        <v>5</v>
      </c>
      <c r="AI114">
        <v>0</v>
      </c>
    </row>
    <row r="115" spans="1:35" x14ac:dyDescent="0.25">
      <c r="A115" t="s">
        <v>402</v>
      </c>
      <c r="B115">
        <v>2044467618.3941474</v>
      </c>
      <c r="C115" t="s">
        <v>358</v>
      </c>
      <c r="E115">
        <v>80</v>
      </c>
      <c r="F115">
        <v>70.599999999999994</v>
      </c>
      <c r="H115">
        <v>4.7800002098083496</v>
      </c>
      <c r="I115">
        <v>4.0338082313537598</v>
      </c>
      <c r="J115">
        <v>0.34905660152435303</v>
      </c>
      <c r="K115" t="s">
        <v>513</v>
      </c>
      <c r="M115">
        <v>2.7774910926818848</v>
      </c>
      <c r="N115">
        <v>10</v>
      </c>
      <c r="O115">
        <v>4.4002895355224609</v>
      </c>
      <c r="P115">
        <v>1.5</v>
      </c>
      <c r="Q115">
        <v>3</v>
      </c>
      <c r="R115">
        <v>10</v>
      </c>
      <c r="T115">
        <v>0.17241379618644714</v>
      </c>
      <c r="U115">
        <v>1</v>
      </c>
      <c r="V115">
        <v>0.73076921701431274</v>
      </c>
      <c r="W115">
        <v>0</v>
      </c>
      <c r="X115">
        <v>0</v>
      </c>
      <c r="Y115" t="s">
        <v>499</v>
      </c>
      <c r="Z115" t="s">
        <v>31</v>
      </c>
      <c r="AA115" t="s">
        <v>493</v>
      </c>
      <c r="AB115" t="s">
        <v>22</v>
      </c>
      <c r="AC115" t="s">
        <v>22</v>
      </c>
      <c r="AE115">
        <v>4.510587215423584</v>
      </c>
      <c r="AF115">
        <v>10</v>
      </c>
      <c r="AG115">
        <v>3.4406085014343262</v>
      </c>
      <c r="AH115">
        <v>5</v>
      </c>
      <c r="AI115">
        <v>10</v>
      </c>
    </row>
    <row r="116" spans="1:35" x14ac:dyDescent="0.25">
      <c r="A116" t="s">
        <v>403</v>
      </c>
      <c r="B116">
        <v>2016727168.8683343</v>
      </c>
      <c r="C116" t="s">
        <v>235</v>
      </c>
      <c r="E116">
        <v>27.4</v>
      </c>
      <c r="F116">
        <v>24.1</v>
      </c>
      <c r="H116">
        <v>2.7899999618530273</v>
      </c>
      <c r="I116">
        <v>1.6662185192108154</v>
      </c>
      <c r="J116">
        <v>0.31132075190544128</v>
      </c>
      <c r="K116" t="s">
        <v>509</v>
      </c>
      <c r="M116">
        <v>3.4985246658325195</v>
      </c>
      <c r="N116">
        <v>7.9494895935058594</v>
      </c>
      <c r="O116">
        <v>0.59242343902587891</v>
      </c>
      <c r="P116">
        <v>0</v>
      </c>
      <c r="Q116">
        <v>0</v>
      </c>
      <c r="R116">
        <v>0</v>
      </c>
      <c r="T116">
        <v>0.5</v>
      </c>
      <c r="U116">
        <v>0.5</v>
      </c>
      <c r="V116">
        <v>0</v>
      </c>
      <c r="W116">
        <v>0</v>
      </c>
      <c r="X116">
        <v>0</v>
      </c>
      <c r="Y116" t="s">
        <v>86</v>
      </c>
      <c r="Z116" t="s">
        <v>86</v>
      </c>
      <c r="AA116" t="s">
        <v>22</v>
      </c>
      <c r="AB116" t="s">
        <v>22</v>
      </c>
      <c r="AC116" t="s">
        <v>22</v>
      </c>
      <c r="AE116">
        <v>3.3909912109375</v>
      </c>
      <c r="AF116">
        <v>10</v>
      </c>
      <c r="AG116">
        <v>1.9747449159622192</v>
      </c>
      <c r="AH116">
        <v>0</v>
      </c>
      <c r="AI116">
        <v>0</v>
      </c>
    </row>
    <row r="117" spans="1:35" x14ac:dyDescent="0.25">
      <c r="A117" t="s">
        <v>404</v>
      </c>
      <c r="B117">
        <v>2012082222.9156692</v>
      </c>
      <c r="C117" t="s">
        <v>224</v>
      </c>
      <c r="E117">
        <v>44.7</v>
      </c>
      <c r="F117">
        <v>53.5</v>
      </c>
      <c r="H117">
        <v>3.4700000286102295</v>
      </c>
      <c r="I117">
        <v>3.1512222290039063</v>
      </c>
      <c r="J117">
        <v>0.36792454123497009</v>
      </c>
      <c r="K117" t="s">
        <v>514</v>
      </c>
      <c r="M117">
        <v>3.0192224979400635</v>
      </c>
      <c r="N117">
        <v>9.343806266784668</v>
      </c>
      <c r="O117">
        <v>4.323793888092041</v>
      </c>
      <c r="P117">
        <v>1.5</v>
      </c>
      <c r="Q117">
        <v>0</v>
      </c>
      <c r="R117">
        <v>0</v>
      </c>
      <c r="T117">
        <v>0.20689655840396881</v>
      </c>
      <c r="U117">
        <v>1</v>
      </c>
      <c r="V117">
        <v>0.73076921701431274</v>
      </c>
      <c r="W117">
        <v>0</v>
      </c>
      <c r="X117">
        <v>0</v>
      </c>
      <c r="Y117" t="s">
        <v>515</v>
      </c>
      <c r="Z117" t="s">
        <v>31</v>
      </c>
      <c r="AA117" t="s">
        <v>493</v>
      </c>
      <c r="AB117" t="s">
        <v>22</v>
      </c>
      <c r="AC117" t="s">
        <v>22</v>
      </c>
      <c r="AE117">
        <v>4.61962890625</v>
      </c>
      <c r="AF117">
        <v>9.0703926086425781</v>
      </c>
      <c r="AG117">
        <v>3.3311388492584229</v>
      </c>
      <c r="AH117">
        <v>5</v>
      </c>
      <c r="AI117">
        <v>0</v>
      </c>
    </row>
    <row r="118" spans="1:35" x14ac:dyDescent="0.25">
      <c r="A118" t="s">
        <v>407</v>
      </c>
      <c r="B118">
        <v>1925016210.4444993</v>
      </c>
      <c r="C118" t="s">
        <v>340</v>
      </c>
      <c r="E118">
        <v>5.3</v>
      </c>
      <c r="F118">
        <v>5.3</v>
      </c>
      <c r="H118">
        <v>1.2599999904632568</v>
      </c>
      <c r="I118">
        <v>0.57536280155181885</v>
      </c>
      <c r="J118">
        <v>0</v>
      </c>
      <c r="K118" t="s">
        <v>22</v>
      </c>
      <c r="M118">
        <v>0</v>
      </c>
      <c r="N118">
        <v>0.41224989295005798</v>
      </c>
      <c r="O118">
        <v>0.31812429428100586</v>
      </c>
      <c r="P118">
        <v>1.5</v>
      </c>
      <c r="Q118">
        <v>0</v>
      </c>
      <c r="R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22</v>
      </c>
      <c r="Z118" t="s">
        <v>22</v>
      </c>
      <c r="AA118" t="s">
        <v>22</v>
      </c>
      <c r="AB118" t="s">
        <v>22</v>
      </c>
      <c r="AC118" t="s">
        <v>22</v>
      </c>
      <c r="AE118">
        <v>0</v>
      </c>
      <c r="AF118">
        <v>1.3741663694381714</v>
      </c>
      <c r="AG118">
        <v>1.0604143142700195</v>
      </c>
      <c r="AH118">
        <v>5</v>
      </c>
      <c r="AI118">
        <v>0</v>
      </c>
    </row>
    <row r="119" spans="1:35" x14ac:dyDescent="0.25">
      <c r="A119" t="s">
        <v>408</v>
      </c>
      <c r="B119">
        <v>1911576154.983531</v>
      </c>
      <c r="C119" t="s">
        <v>409</v>
      </c>
      <c r="E119">
        <v>45.6</v>
      </c>
      <c r="F119">
        <v>55.3</v>
      </c>
      <c r="H119">
        <v>3.4900000095367432</v>
      </c>
      <c r="I119">
        <v>3.2017366886138916</v>
      </c>
      <c r="J119">
        <v>0.39622640609741211</v>
      </c>
      <c r="K119" t="s">
        <v>23</v>
      </c>
      <c r="M119">
        <v>2.5752394199371338</v>
      </c>
      <c r="N119">
        <v>10</v>
      </c>
      <c r="O119">
        <v>4.4002895355224609</v>
      </c>
      <c r="P119">
        <v>1.5</v>
      </c>
      <c r="Q119">
        <v>0</v>
      </c>
      <c r="R119">
        <v>0</v>
      </c>
      <c r="T119">
        <v>0.25862067937850952</v>
      </c>
      <c r="U119">
        <v>1</v>
      </c>
      <c r="V119">
        <v>0.73076921701431274</v>
      </c>
      <c r="W119">
        <v>0</v>
      </c>
      <c r="X119">
        <v>0</v>
      </c>
      <c r="Y119" t="s">
        <v>530</v>
      </c>
      <c r="Z119" t="s">
        <v>31</v>
      </c>
      <c r="AA119" t="s">
        <v>493</v>
      </c>
      <c r="AB119" t="s">
        <v>22</v>
      </c>
      <c r="AC119" t="s">
        <v>22</v>
      </c>
      <c r="AE119">
        <v>3.4765818119049072</v>
      </c>
      <c r="AF119">
        <v>10</v>
      </c>
      <c r="AG119">
        <v>3.4406085014343262</v>
      </c>
      <c r="AH119">
        <v>5</v>
      </c>
      <c r="AI119">
        <v>0</v>
      </c>
    </row>
    <row r="120" spans="1:35" x14ac:dyDescent="0.25">
      <c r="A120" t="s">
        <v>410</v>
      </c>
      <c r="B120">
        <v>1873435120.8168547</v>
      </c>
      <c r="C120" t="s">
        <v>280</v>
      </c>
      <c r="E120">
        <v>74.400000000000006</v>
      </c>
      <c r="F120">
        <v>63.5</v>
      </c>
      <c r="H120">
        <v>4.570000171661377</v>
      </c>
      <c r="I120">
        <v>3.5590853691101074</v>
      </c>
      <c r="J120">
        <v>0.51886790990829468</v>
      </c>
      <c r="K120" t="s">
        <v>517</v>
      </c>
      <c r="M120">
        <v>5.2392897605895996</v>
      </c>
      <c r="N120">
        <v>6.7765254974365234</v>
      </c>
      <c r="O120">
        <v>4.4002895355224609</v>
      </c>
      <c r="P120">
        <v>3</v>
      </c>
      <c r="Q120">
        <v>0</v>
      </c>
      <c r="R120">
        <v>0</v>
      </c>
      <c r="T120">
        <v>0.5517241358757019</v>
      </c>
      <c r="U120">
        <v>0.5</v>
      </c>
      <c r="V120">
        <v>0.73076921701431274</v>
      </c>
      <c r="W120">
        <v>0</v>
      </c>
      <c r="X120">
        <v>0</v>
      </c>
      <c r="Y120" t="s">
        <v>521</v>
      </c>
      <c r="Z120" t="s">
        <v>86</v>
      </c>
      <c r="AA120" t="s">
        <v>493</v>
      </c>
      <c r="AB120" t="s">
        <v>22</v>
      </c>
      <c r="AC120" t="s">
        <v>22</v>
      </c>
      <c r="AE120">
        <v>5.6549711227416992</v>
      </c>
      <c r="AF120">
        <v>8.2583255767822266</v>
      </c>
      <c r="AG120">
        <v>3.4406085014343262</v>
      </c>
      <c r="AH120">
        <v>10</v>
      </c>
      <c r="AI120">
        <v>0</v>
      </c>
    </row>
    <row r="121" spans="1:35" x14ac:dyDescent="0.25">
      <c r="A121" t="s">
        <v>411</v>
      </c>
      <c r="B121">
        <v>1830993521.9028413</v>
      </c>
      <c r="C121" t="s">
        <v>278</v>
      </c>
      <c r="E121">
        <v>46.5</v>
      </c>
      <c r="F121">
        <v>47.1</v>
      </c>
      <c r="H121">
        <v>3.5299999713897705</v>
      </c>
      <c r="I121">
        <v>2.8250372409820557</v>
      </c>
      <c r="J121">
        <v>0.30188679695129395</v>
      </c>
      <c r="K121" t="s">
        <v>500</v>
      </c>
      <c r="M121">
        <v>4.1990218162536621</v>
      </c>
      <c r="N121">
        <v>3.478351354598999</v>
      </c>
      <c r="O121">
        <v>4.4002895355224609</v>
      </c>
      <c r="P121">
        <v>3</v>
      </c>
      <c r="Q121">
        <v>0</v>
      </c>
      <c r="R121">
        <v>0</v>
      </c>
      <c r="T121">
        <v>0.15517240762710571</v>
      </c>
      <c r="U121">
        <v>0.5</v>
      </c>
      <c r="V121">
        <v>0.73076921701431274</v>
      </c>
      <c r="W121">
        <v>0</v>
      </c>
      <c r="X121">
        <v>0</v>
      </c>
      <c r="Y121" t="s">
        <v>502</v>
      </c>
      <c r="Z121" t="s">
        <v>86</v>
      </c>
      <c r="AA121" t="s">
        <v>493</v>
      </c>
      <c r="AB121" t="s">
        <v>22</v>
      </c>
      <c r="AC121" t="s">
        <v>22</v>
      </c>
      <c r="AE121">
        <v>7.2168550491333008</v>
      </c>
      <c r="AF121">
        <v>3.3610367774963379</v>
      </c>
      <c r="AG121">
        <v>3.4406085014343262</v>
      </c>
      <c r="AH121">
        <v>10</v>
      </c>
      <c r="AI121">
        <v>0</v>
      </c>
    </row>
    <row r="122" spans="1:35" x14ac:dyDescent="0.25">
      <c r="A122" t="s">
        <v>412</v>
      </c>
      <c r="B122">
        <v>1655697000</v>
      </c>
      <c r="C122" t="s">
        <v>413</v>
      </c>
      <c r="E122">
        <v>42.9</v>
      </c>
      <c r="F122">
        <v>50.6</v>
      </c>
      <c r="H122">
        <v>3.3900001049041748</v>
      </c>
      <c r="I122">
        <v>3.0716779232025146</v>
      </c>
      <c r="J122">
        <v>0.29245284199714661</v>
      </c>
      <c r="K122" t="s">
        <v>21</v>
      </c>
      <c r="M122">
        <v>3.4666728973388672</v>
      </c>
      <c r="N122">
        <v>2.4774978160858154</v>
      </c>
      <c r="O122">
        <v>7.1055541038513184</v>
      </c>
      <c r="P122">
        <v>3</v>
      </c>
      <c r="Q122">
        <v>0</v>
      </c>
      <c r="R122">
        <v>10</v>
      </c>
      <c r="T122">
        <v>0.20689655840396881</v>
      </c>
      <c r="U122">
        <v>0</v>
      </c>
      <c r="V122">
        <v>0.73076921701431274</v>
      </c>
      <c r="W122">
        <v>0</v>
      </c>
      <c r="X122">
        <v>0</v>
      </c>
      <c r="Y122" t="s">
        <v>515</v>
      </c>
      <c r="Z122" t="s">
        <v>22</v>
      </c>
      <c r="AA122" t="s">
        <v>493</v>
      </c>
      <c r="AB122" t="s">
        <v>22</v>
      </c>
      <c r="AC122" t="s">
        <v>22</v>
      </c>
      <c r="AE122">
        <v>5.3804340362548828</v>
      </c>
      <c r="AF122">
        <v>8.2583255767822266</v>
      </c>
      <c r="AG122">
        <v>7.3120193481445313</v>
      </c>
      <c r="AH122">
        <v>10</v>
      </c>
      <c r="AI122">
        <v>0</v>
      </c>
    </row>
    <row r="123" spans="1:35" x14ac:dyDescent="0.25">
      <c r="A123" t="s">
        <v>414</v>
      </c>
      <c r="B123">
        <v>1630702563.0891333</v>
      </c>
      <c r="C123" t="s">
        <v>370</v>
      </c>
      <c r="E123">
        <v>35.299999999999997</v>
      </c>
      <c r="F123">
        <v>11.8</v>
      </c>
      <c r="H123">
        <v>3.0999999046325684</v>
      </c>
      <c r="I123">
        <v>1.0268779993057251</v>
      </c>
      <c r="J123">
        <v>0.1458333283662796</v>
      </c>
      <c r="K123" t="s">
        <v>171</v>
      </c>
      <c r="M123">
        <v>3.6483542919158936</v>
      </c>
      <c r="N123">
        <v>0.7653312087059021</v>
      </c>
      <c r="O123">
        <v>0.31812429428100586</v>
      </c>
      <c r="P123">
        <v>1.5</v>
      </c>
      <c r="Q123">
        <v>0</v>
      </c>
      <c r="R123">
        <v>0</v>
      </c>
      <c r="T123">
        <v>0.2916666567325592</v>
      </c>
      <c r="U123">
        <v>0</v>
      </c>
      <c r="V123">
        <v>0</v>
      </c>
      <c r="W123">
        <v>0</v>
      </c>
      <c r="X123">
        <v>0</v>
      </c>
      <c r="Y123" t="s">
        <v>21</v>
      </c>
      <c r="Z123" t="s">
        <v>22</v>
      </c>
      <c r="AA123" t="s">
        <v>22</v>
      </c>
      <c r="AB123" t="s">
        <v>22</v>
      </c>
      <c r="AC123" t="s">
        <v>22</v>
      </c>
      <c r="AE123">
        <v>4.9724369049072266</v>
      </c>
      <c r="AF123">
        <v>2.5511040687561035</v>
      </c>
      <c r="AG123">
        <v>1.0604143142700195</v>
      </c>
      <c r="AH123">
        <v>5</v>
      </c>
      <c r="AI123">
        <v>0</v>
      </c>
    </row>
    <row r="124" spans="1:35" x14ac:dyDescent="0.25">
      <c r="A124" t="s">
        <v>415</v>
      </c>
      <c r="B124">
        <v>1559641516.9393938</v>
      </c>
      <c r="C124" t="s">
        <v>310</v>
      </c>
      <c r="E124">
        <v>72.400000000000006</v>
      </c>
      <c r="F124">
        <v>84.7</v>
      </c>
      <c r="H124">
        <v>4.4099998474121094</v>
      </c>
      <c r="I124">
        <v>4.6267204284667969</v>
      </c>
      <c r="J124">
        <v>0.36792454123497009</v>
      </c>
      <c r="K124" t="s">
        <v>514</v>
      </c>
      <c r="M124">
        <v>3.0404751300811768</v>
      </c>
      <c r="N124">
        <v>9.6026248931884766</v>
      </c>
      <c r="O124">
        <v>4.4002895355224609</v>
      </c>
      <c r="P124">
        <v>3</v>
      </c>
      <c r="Q124">
        <v>3</v>
      </c>
      <c r="R124">
        <v>10</v>
      </c>
      <c r="T124">
        <v>0.20689655840396881</v>
      </c>
      <c r="U124">
        <v>1</v>
      </c>
      <c r="V124">
        <v>0.73076921701431274</v>
      </c>
      <c r="W124">
        <v>0</v>
      </c>
      <c r="X124">
        <v>0</v>
      </c>
      <c r="Y124" t="s">
        <v>515</v>
      </c>
      <c r="Z124" t="s">
        <v>31</v>
      </c>
      <c r="AA124" t="s">
        <v>493</v>
      </c>
      <c r="AB124" t="s">
        <v>22</v>
      </c>
      <c r="AC124" t="s">
        <v>22</v>
      </c>
      <c r="AE124">
        <v>4.6557650566101074</v>
      </c>
      <c r="AF124">
        <v>9.4370517730712891</v>
      </c>
      <c r="AG124">
        <v>3.4406085014343262</v>
      </c>
      <c r="AH124">
        <v>10</v>
      </c>
      <c r="AI124">
        <v>10</v>
      </c>
    </row>
    <row r="125" spans="1:35" x14ac:dyDescent="0.25">
      <c r="A125" t="s">
        <v>416</v>
      </c>
      <c r="B125">
        <v>1508303944.6133516</v>
      </c>
      <c r="C125" t="s">
        <v>243</v>
      </c>
      <c r="E125">
        <v>37.1</v>
      </c>
      <c r="F125">
        <v>77.099999999999994</v>
      </c>
      <c r="H125">
        <v>3.1700000762939453</v>
      </c>
      <c r="I125">
        <v>4.3368334770202637</v>
      </c>
      <c r="J125">
        <v>0.65094339847564697</v>
      </c>
      <c r="K125" t="s">
        <v>56</v>
      </c>
      <c r="M125">
        <v>5.3170228004455566</v>
      </c>
      <c r="N125">
        <v>7.6400671005249023</v>
      </c>
      <c r="O125">
        <v>4.4002895355224609</v>
      </c>
      <c r="P125">
        <v>3</v>
      </c>
      <c r="Q125">
        <v>3</v>
      </c>
      <c r="R125">
        <v>0</v>
      </c>
      <c r="T125">
        <v>0.79310345649719238</v>
      </c>
      <c r="U125">
        <v>0.5</v>
      </c>
      <c r="V125">
        <v>0.73076921701431274</v>
      </c>
      <c r="W125">
        <v>0</v>
      </c>
      <c r="X125">
        <v>0</v>
      </c>
      <c r="Y125" t="s">
        <v>29</v>
      </c>
      <c r="Z125" t="s">
        <v>86</v>
      </c>
      <c r="AA125" t="s">
        <v>493</v>
      </c>
      <c r="AB125" t="s">
        <v>22</v>
      </c>
      <c r="AC125" t="s">
        <v>22</v>
      </c>
      <c r="AE125">
        <v>4.4217038154602051</v>
      </c>
      <c r="AF125">
        <v>9.5405540466308594</v>
      </c>
      <c r="AG125">
        <v>3.4406085014343262</v>
      </c>
      <c r="AH125">
        <v>10</v>
      </c>
      <c r="AI125">
        <v>10</v>
      </c>
    </row>
    <row r="126" spans="1:35" x14ac:dyDescent="0.25">
      <c r="A126" t="s">
        <v>417</v>
      </c>
      <c r="B126">
        <v>1492227138.7705545</v>
      </c>
      <c r="C126" t="s">
        <v>365</v>
      </c>
      <c r="E126">
        <v>94.1</v>
      </c>
      <c r="F126">
        <v>92.9</v>
      </c>
      <c r="H126">
        <v>5.7100000381469727</v>
      </c>
      <c r="I126">
        <v>5.3772172927856445</v>
      </c>
      <c r="J126">
        <v>0.5283018946647644</v>
      </c>
      <c r="K126" t="s">
        <v>505</v>
      </c>
      <c r="M126">
        <v>4.7200231552124023</v>
      </c>
      <c r="N126">
        <v>7.9494895935058594</v>
      </c>
      <c r="O126">
        <v>4.4764924049377441</v>
      </c>
      <c r="P126">
        <v>3</v>
      </c>
      <c r="Q126">
        <v>9.2156858444213867</v>
      </c>
      <c r="R126">
        <v>10</v>
      </c>
      <c r="T126">
        <v>0.5</v>
      </c>
      <c r="U126">
        <v>0.5</v>
      </c>
      <c r="V126">
        <v>0.73076921701431274</v>
      </c>
      <c r="W126">
        <v>0</v>
      </c>
      <c r="X126">
        <v>1</v>
      </c>
      <c r="Y126" t="s">
        <v>86</v>
      </c>
      <c r="Z126" t="s">
        <v>86</v>
      </c>
      <c r="AA126" t="s">
        <v>493</v>
      </c>
      <c r="AB126" t="s">
        <v>22</v>
      </c>
      <c r="AC126" t="s">
        <v>31</v>
      </c>
      <c r="AE126">
        <v>5.2047309875488281</v>
      </c>
      <c r="AF126">
        <v>10</v>
      </c>
      <c r="AG126">
        <v>3.5496597290039063</v>
      </c>
      <c r="AH126">
        <v>10</v>
      </c>
      <c r="AI126">
        <v>8.8888893127441406</v>
      </c>
    </row>
    <row r="127" spans="1:35" x14ac:dyDescent="0.25">
      <c r="A127" t="s">
        <v>418</v>
      </c>
      <c r="B127">
        <v>1470618078.4856825</v>
      </c>
      <c r="C127" t="s">
        <v>419</v>
      </c>
      <c r="E127">
        <v>54.1</v>
      </c>
      <c r="F127">
        <v>52.4</v>
      </c>
      <c r="H127">
        <v>3.7999999523162842</v>
      </c>
      <c r="I127">
        <v>3.0879340171813965</v>
      </c>
      <c r="J127">
        <v>0.37735849618911743</v>
      </c>
      <c r="K127" t="s">
        <v>501</v>
      </c>
      <c r="M127">
        <v>3.4173872470855713</v>
      </c>
      <c r="N127">
        <v>9.675684928894043</v>
      </c>
      <c r="O127">
        <v>2.2384109497070313</v>
      </c>
      <c r="P127">
        <v>1.5</v>
      </c>
      <c r="Q127">
        <v>0</v>
      </c>
      <c r="R127">
        <v>10</v>
      </c>
      <c r="T127">
        <v>0.46551725268363953</v>
      </c>
      <c r="U127">
        <v>1</v>
      </c>
      <c r="V127">
        <v>0.19230769574642181</v>
      </c>
      <c r="W127">
        <v>0</v>
      </c>
      <c r="X127">
        <v>0</v>
      </c>
      <c r="Y127" t="s">
        <v>447</v>
      </c>
      <c r="Z127" t="s">
        <v>31</v>
      </c>
      <c r="AA127" t="s">
        <v>508</v>
      </c>
      <c r="AB127" t="s">
        <v>22</v>
      </c>
      <c r="AC127" t="s">
        <v>22</v>
      </c>
      <c r="AE127">
        <v>3.4699122905731201</v>
      </c>
      <c r="AF127">
        <v>9.5405540466308594</v>
      </c>
      <c r="AG127">
        <v>3.4041080474853516</v>
      </c>
      <c r="AH127">
        <v>5</v>
      </c>
      <c r="AI127">
        <v>0</v>
      </c>
    </row>
    <row r="128" spans="1:35" x14ac:dyDescent="0.25">
      <c r="A128" t="s">
        <v>420</v>
      </c>
      <c r="B128">
        <v>1406542716.1938887</v>
      </c>
      <c r="C128" t="s">
        <v>248</v>
      </c>
      <c r="E128">
        <v>95.3</v>
      </c>
      <c r="F128">
        <v>95.9</v>
      </c>
      <c r="H128">
        <v>5.75</v>
      </c>
      <c r="I128">
        <v>5.9453401565551758</v>
      </c>
      <c r="J128">
        <v>0.49056604504585266</v>
      </c>
      <c r="K128" t="s">
        <v>512</v>
      </c>
      <c r="M128">
        <v>2.7772738933563232</v>
      </c>
      <c r="N128">
        <v>10</v>
      </c>
      <c r="O128">
        <v>8.8425416946411133</v>
      </c>
      <c r="P128">
        <v>3</v>
      </c>
      <c r="Q128">
        <v>9.2156858444213867</v>
      </c>
      <c r="R128">
        <v>0</v>
      </c>
      <c r="T128">
        <v>0.27586206793785095</v>
      </c>
      <c r="U128">
        <v>1</v>
      </c>
      <c r="V128">
        <v>0.92307692766189575</v>
      </c>
      <c r="W128">
        <v>0</v>
      </c>
      <c r="X128">
        <v>1</v>
      </c>
      <c r="Y128" t="s">
        <v>492</v>
      </c>
      <c r="Z128" t="s">
        <v>31</v>
      </c>
      <c r="AA128" t="s">
        <v>221</v>
      </c>
      <c r="AB128" t="s">
        <v>22</v>
      </c>
      <c r="AC128" t="s">
        <v>31</v>
      </c>
      <c r="AE128">
        <v>3.683814525604248</v>
      </c>
      <c r="AF128">
        <v>10</v>
      </c>
      <c r="AG128">
        <v>8.7490749359130859</v>
      </c>
      <c r="AH128">
        <v>10</v>
      </c>
      <c r="AI128">
        <v>8.8888893127441406</v>
      </c>
    </row>
    <row r="129" spans="1:35" x14ac:dyDescent="0.25">
      <c r="A129" t="s">
        <v>421</v>
      </c>
      <c r="B129">
        <v>1308837427.7822013</v>
      </c>
      <c r="C129" t="s">
        <v>224</v>
      </c>
      <c r="E129">
        <v>37.6</v>
      </c>
      <c r="F129">
        <v>28.8</v>
      </c>
      <c r="H129">
        <v>3.190000057220459</v>
      </c>
      <c r="I129">
        <v>1.9463506937026978</v>
      </c>
      <c r="J129">
        <v>0.11320754885673523</v>
      </c>
      <c r="K129" t="s">
        <v>524</v>
      </c>
      <c r="M129">
        <v>2.428924560546875</v>
      </c>
      <c r="N129">
        <v>3</v>
      </c>
      <c r="O129">
        <v>0.84982138872146606</v>
      </c>
      <c r="P129">
        <v>1.5</v>
      </c>
      <c r="Q129">
        <v>3</v>
      </c>
      <c r="R129">
        <v>0</v>
      </c>
      <c r="T129">
        <v>0.20689655840396881</v>
      </c>
      <c r="U129">
        <v>0</v>
      </c>
      <c r="V129">
        <v>0</v>
      </c>
      <c r="W129">
        <v>0</v>
      </c>
      <c r="X129">
        <v>0</v>
      </c>
      <c r="Y129" t="s">
        <v>515</v>
      </c>
      <c r="Z129" t="s">
        <v>22</v>
      </c>
      <c r="AA129" t="s">
        <v>22</v>
      </c>
      <c r="AB129" t="s">
        <v>22</v>
      </c>
      <c r="AC129" t="s">
        <v>22</v>
      </c>
      <c r="AE129">
        <v>3.615938663482666</v>
      </c>
      <c r="AF129">
        <v>10</v>
      </c>
      <c r="AG129">
        <v>2.832737922668457</v>
      </c>
      <c r="AH129">
        <v>5</v>
      </c>
      <c r="AI129">
        <v>10</v>
      </c>
    </row>
    <row r="130" spans="1:35" x14ac:dyDescent="0.25">
      <c r="A130" t="s">
        <v>422</v>
      </c>
      <c r="B130">
        <v>1281809568.1108549</v>
      </c>
      <c r="C130" t="s">
        <v>423</v>
      </c>
      <c r="E130">
        <v>23.5</v>
      </c>
      <c r="F130">
        <v>34.700000000000003</v>
      </c>
      <c r="H130">
        <v>2.6500000953674316</v>
      </c>
      <c r="I130">
        <v>2.3177220821380615</v>
      </c>
      <c r="J130">
        <v>0.20754717290401459</v>
      </c>
      <c r="K130" t="s">
        <v>515</v>
      </c>
      <c r="M130">
        <v>1.5751628875732422</v>
      </c>
      <c r="N130">
        <v>9.675684928894043</v>
      </c>
      <c r="O130">
        <v>0.59242343902587891</v>
      </c>
      <c r="P130">
        <v>1.5</v>
      </c>
      <c r="Q130">
        <v>0</v>
      </c>
      <c r="R130">
        <v>0</v>
      </c>
      <c r="T130">
        <v>0.24137930572032928</v>
      </c>
      <c r="U130">
        <v>1</v>
      </c>
      <c r="V130">
        <v>0</v>
      </c>
      <c r="W130">
        <v>0</v>
      </c>
      <c r="X130">
        <v>0</v>
      </c>
      <c r="Y130" t="s">
        <v>503</v>
      </c>
      <c r="Z130" t="s">
        <v>31</v>
      </c>
      <c r="AA130" t="s">
        <v>22</v>
      </c>
      <c r="AB130" t="s">
        <v>22</v>
      </c>
      <c r="AC130" t="s">
        <v>22</v>
      </c>
      <c r="AE130">
        <v>1.9443418979644775</v>
      </c>
      <c r="AF130">
        <v>9.5405540466308594</v>
      </c>
      <c r="AG130">
        <v>1.9747449159622192</v>
      </c>
      <c r="AH130">
        <v>5</v>
      </c>
      <c r="AI130">
        <v>0</v>
      </c>
    </row>
    <row r="131" spans="1:35" x14ac:dyDescent="0.25">
      <c r="A131" t="s">
        <v>424</v>
      </c>
      <c r="B131">
        <v>1245536344.0999999</v>
      </c>
      <c r="C131" t="s">
        <v>229</v>
      </c>
      <c r="E131">
        <v>9.4</v>
      </c>
      <c r="F131">
        <v>7.6</v>
      </c>
      <c r="H131">
        <v>1.3999999761581421</v>
      </c>
      <c r="I131">
        <v>0.70236492156982422</v>
      </c>
      <c r="J131">
        <v>0</v>
      </c>
      <c r="K131" t="s">
        <v>22</v>
      </c>
      <c r="M131">
        <v>0.59242343902587891</v>
      </c>
      <c r="N131">
        <v>3</v>
      </c>
      <c r="O131">
        <v>0.59242343902587891</v>
      </c>
      <c r="P131">
        <v>0</v>
      </c>
      <c r="Q131">
        <v>0</v>
      </c>
      <c r="R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22</v>
      </c>
      <c r="Z131" t="s">
        <v>22</v>
      </c>
      <c r="AA131" t="s">
        <v>22</v>
      </c>
      <c r="AB131" t="s">
        <v>22</v>
      </c>
      <c r="AC131" t="s">
        <v>22</v>
      </c>
      <c r="AE131">
        <v>1.9747449159622192</v>
      </c>
      <c r="AF131">
        <v>10</v>
      </c>
      <c r="AG131">
        <v>1.9747449159622192</v>
      </c>
      <c r="AH131">
        <v>0</v>
      </c>
      <c r="AI131">
        <v>0</v>
      </c>
    </row>
    <row r="132" spans="1:35" x14ac:dyDescent="0.25">
      <c r="A132" t="s">
        <v>425</v>
      </c>
      <c r="B132">
        <v>1168274476.2709806</v>
      </c>
      <c r="C132" t="s">
        <v>260</v>
      </c>
      <c r="E132">
        <v>12.1</v>
      </c>
      <c r="F132">
        <v>14.1</v>
      </c>
      <c r="H132">
        <v>2.0499999523162842</v>
      </c>
      <c r="I132">
        <v>1.1641743183135986</v>
      </c>
      <c r="J132">
        <v>1.8867924809455872E-2</v>
      </c>
      <c r="K132" t="s">
        <v>534</v>
      </c>
      <c r="M132">
        <v>0.56933826208114624</v>
      </c>
      <c r="N132">
        <v>0.7653312087059021</v>
      </c>
      <c r="O132">
        <v>0.59242343902587891</v>
      </c>
      <c r="P132">
        <v>3</v>
      </c>
      <c r="Q132">
        <v>0</v>
      </c>
      <c r="R132">
        <v>0</v>
      </c>
      <c r="T132">
        <v>3.4482758492231369E-2</v>
      </c>
      <c r="U132">
        <v>0</v>
      </c>
      <c r="V132">
        <v>0</v>
      </c>
      <c r="W132">
        <v>0</v>
      </c>
      <c r="X132">
        <v>0</v>
      </c>
      <c r="Y132" t="s">
        <v>535</v>
      </c>
      <c r="Z132" t="s">
        <v>22</v>
      </c>
      <c r="AA132" t="s">
        <v>22</v>
      </c>
      <c r="AB132" t="s">
        <v>22</v>
      </c>
      <c r="AC132" t="s">
        <v>22</v>
      </c>
      <c r="AE132">
        <v>1.4919407367706299</v>
      </c>
      <c r="AF132">
        <v>2.5511040687561035</v>
      </c>
      <c r="AG132">
        <v>1.9747449159622192</v>
      </c>
      <c r="AH132">
        <v>10</v>
      </c>
      <c r="AI132">
        <v>0</v>
      </c>
    </row>
    <row r="133" spans="1:35" x14ac:dyDescent="0.25">
      <c r="A133" t="s">
        <v>426</v>
      </c>
      <c r="B133">
        <v>1156866205.51596</v>
      </c>
      <c r="C133" t="s">
        <v>235</v>
      </c>
      <c r="E133">
        <v>6.5</v>
      </c>
      <c r="F133">
        <v>8.1999999999999993</v>
      </c>
      <c r="H133">
        <v>1.2799999713897705</v>
      </c>
      <c r="I133">
        <v>0.75170242786407471</v>
      </c>
      <c r="J133">
        <v>4.7169812023639679E-2</v>
      </c>
      <c r="K133" t="s">
        <v>526</v>
      </c>
      <c r="M133">
        <v>0.99602514505386353</v>
      </c>
      <c r="N133">
        <v>0.41224989295005798</v>
      </c>
      <c r="O133">
        <v>0.59242343902587891</v>
      </c>
      <c r="P133">
        <v>1.5</v>
      </c>
      <c r="Q133">
        <v>0</v>
      </c>
      <c r="R133">
        <v>0</v>
      </c>
      <c r="T133">
        <v>8.6206898093223572E-2</v>
      </c>
      <c r="U133">
        <v>0</v>
      </c>
      <c r="V133">
        <v>0</v>
      </c>
      <c r="W133">
        <v>0</v>
      </c>
      <c r="X133">
        <v>0</v>
      </c>
      <c r="Y133" t="s">
        <v>527</v>
      </c>
      <c r="Z133" t="s">
        <v>22</v>
      </c>
      <c r="AA133" t="s">
        <v>22</v>
      </c>
      <c r="AB133" t="s">
        <v>22</v>
      </c>
      <c r="AC133" t="s">
        <v>22</v>
      </c>
      <c r="AE133">
        <v>1.9747449159622192</v>
      </c>
      <c r="AF133">
        <v>1.3741663694381714</v>
      </c>
      <c r="AG133">
        <v>1.9747449159622192</v>
      </c>
      <c r="AH133">
        <v>5</v>
      </c>
      <c r="AI133">
        <v>0</v>
      </c>
    </row>
    <row r="134" spans="1:35" x14ac:dyDescent="0.25">
      <c r="A134" t="s">
        <v>427</v>
      </c>
      <c r="B134">
        <v>1036583180.0532371</v>
      </c>
      <c r="C134" t="s">
        <v>260</v>
      </c>
      <c r="E134">
        <v>18.5</v>
      </c>
      <c r="F134">
        <v>16.5</v>
      </c>
      <c r="H134">
        <v>2.4700000286102295</v>
      </c>
      <c r="I134">
        <v>1.2223626375198364</v>
      </c>
      <c r="J134">
        <v>0.22641509771347046</v>
      </c>
      <c r="K134" t="s">
        <v>525</v>
      </c>
      <c r="M134">
        <v>1.4671173095703125</v>
      </c>
      <c r="N134">
        <v>2.4774978160858154</v>
      </c>
      <c r="O134">
        <v>4.323793888092041</v>
      </c>
      <c r="P134">
        <v>0</v>
      </c>
      <c r="Q134">
        <v>0</v>
      </c>
      <c r="R134">
        <v>0</v>
      </c>
      <c r="T134">
        <v>8.6206898093223572E-2</v>
      </c>
      <c r="U134">
        <v>0</v>
      </c>
      <c r="V134">
        <v>0.73076921701431274</v>
      </c>
      <c r="W134">
        <v>0</v>
      </c>
      <c r="X134">
        <v>0</v>
      </c>
      <c r="Y134" t="s">
        <v>527</v>
      </c>
      <c r="Z134" t="s">
        <v>22</v>
      </c>
      <c r="AA134" t="s">
        <v>493</v>
      </c>
      <c r="AB134" t="s">
        <v>22</v>
      </c>
      <c r="AC134" t="s">
        <v>22</v>
      </c>
      <c r="AE134">
        <v>2.9066503047943115</v>
      </c>
      <c r="AF134">
        <v>8.2583255767822266</v>
      </c>
      <c r="AG134">
        <v>3.3311388492584229</v>
      </c>
      <c r="AH134">
        <v>0</v>
      </c>
      <c r="AI134">
        <v>0</v>
      </c>
    </row>
    <row r="135" spans="1:35" x14ac:dyDescent="0.25">
      <c r="A135" t="s">
        <v>429</v>
      </c>
      <c r="B135">
        <v>1017579012.8399997</v>
      </c>
      <c r="C135" t="s">
        <v>229</v>
      </c>
      <c r="E135">
        <v>12.1</v>
      </c>
      <c r="F135">
        <v>15.3</v>
      </c>
      <c r="H135">
        <v>2.0499999523162842</v>
      </c>
      <c r="I135">
        <v>1.1964402198791504</v>
      </c>
      <c r="J135">
        <v>0.18867924809455872</v>
      </c>
      <c r="K135" t="s">
        <v>508</v>
      </c>
      <c r="M135">
        <v>3.0687422752380371</v>
      </c>
      <c r="N135">
        <v>0.7653312087059021</v>
      </c>
      <c r="O135">
        <v>1.5</v>
      </c>
      <c r="P135">
        <v>1.5</v>
      </c>
      <c r="Q135">
        <v>0</v>
      </c>
      <c r="R135">
        <v>0</v>
      </c>
      <c r="T135">
        <v>0.34482759237289429</v>
      </c>
      <c r="U135">
        <v>0</v>
      </c>
      <c r="V135">
        <v>0</v>
      </c>
      <c r="W135">
        <v>0</v>
      </c>
      <c r="X135">
        <v>0</v>
      </c>
      <c r="Y135" t="s">
        <v>507</v>
      </c>
      <c r="Z135" t="s">
        <v>22</v>
      </c>
      <c r="AA135" t="s">
        <v>22</v>
      </c>
      <c r="AB135" t="s">
        <v>22</v>
      </c>
      <c r="AC135" t="s">
        <v>22</v>
      </c>
      <c r="AE135">
        <v>3.6805794239044189</v>
      </c>
      <c r="AF135">
        <v>2.5511040687561035</v>
      </c>
      <c r="AG135">
        <v>5</v>
      </c>
      <c r="AH135">
        <v>5</v>
      </c>
      <c r="AI135">
        <v>0</v>
      </c>
    </row>
    <row r="136" spans="1:35" x14ac:dyDescent="0.25">
      <c r="A136" t="s">
        <v>430</v>
      </c>
      <c r="B136">
        <v>990186418.96090972</v>
      </c>
      <c r="C136" t="s">
        <v>431</v>
      </c>
      <c r="E136">
        <v>90.6</v>
      </c>
      <c r="F136">
        <v>78.8</v>
      </c>
      <c r="H136">
        <v>5.4499998092651367</v>
      </c>
      <c r="I136">
        <v>4.3725628852844238</v>
      </c>
      <c r="J136">
        <v>0.59375</v>
      </c>
      <c r="K136" t="s">
        <v>43</v>
      </c>
      <c r="M136">
        <v>5.6254310607910156</v>
      </c>
      <c r="N136">
        <v>7.6400671005249023</v>
      </c>
      <c r="O136">
        <v>7.1055541038513184</v>
      </c>
      <c r="P136">
        <v>3</v>
      </c>
      <c r="Q136">
        <v>0</v>
      </c>
      <c r="R136">
        <v>10</v>
      </c>
      <c r="T136">
        <v>0.70833331346511841</v>
      </c>
      <c r="U136">
        <v>0.5</v>
      </c>
      <c r="V136">
        <v>0.73076921701431274</v>
      </c>
      <c r="W136">
        <v>0</v>
      </c>
      <c r="X136">
        <v>0</v>
      </c>
      <c r="Y136" t="s">
        <v>382</v>
      </c>
      <c r="Z136" t="s">
        <v>86</v>
      </c>
      <c r="AA136" t="s">
        <v>493</v>
      </c>
      <c r="AB136" t="s">
        <v>22</v>
      </c>
      <c r="AC136" t="s">
        <v>22</v>
      </c>
      <c r="AE136">
        <v>5.3161754608154297</v>
      </c>
      <c r="AF136">
        <v>9.5405540466308594</v>
      </c>
      <c r="AG136">
        <v>7.3120193481445313</v>
      </c>
      <c r="AH136">
        <v>10</v>
      </c>
      <c r="AI136">
        <v>0</v>
      </c>
    </row>
    <row r="137" spans="1:35" x14ac:dyDescent="0.25">
      <c r="A137" t="s">
        <v>432</v>
      </c>
      <c r="B137">
        <v>960192331.80902863</v>
      </c>
      <c r="C137" t="s">
        <v>433</v>
      </c>
      <c r="E137">
        <v>25.3</v>
      </c>
      <c r="F137">
        <v>38.799999999999997</v>
      </c>
      <c r="H137">
        <v>2.75</v>
      </c>
      <c r="I137">
        <v>2.4400577545166016</v>
      </c>
      <c r="J137">
        <v>0.33018869161605835</v>
      </c>
      <c r="K137" t="s">
        <v>497</v>
      </c>
      <c r="M137">
        <v>2.5619921684265137</v>
      </c>
      <c r="N137">
        <v>2.4774978160858154</v>
      </c>
      <c r="O137">
        <v>4.4764924049377441</v>
      </c>
      <c r="P137">
        <v>3</v>
      </c>
      <c r="Q137">
        <v>0</v>
      </c>
      <c r="R137">
        <v>0</v>
      </c>
      <c r="T137">
        <v>0.27586206793785095</v>
      </c>
      <c r="U137">
        <v>0</v>
      </c>
      <c r="V137">
        <v>0.73076921701431274</v>
      </c>
      <c r="W137">
        <v>0</v>
      </c>
      <c r="X137">
        <v>0</v>
      </c>
      <c r="Y137" t="s">
        <v>492</v>
      </c>
      <c r="Z137" t="s">
        <v>22</v>
      </c>
      <c r="AA137" t="s">
        <v>493</v>
      </c>
      <c r="AB137" t="s">
        <v>22</v>
      </c>
      <c r="AC137" t="s">
        <v>22</v>
      </c>
      <c r="AE137">
        <v>3.3350398540496826</v>
      </c>
      <c r="AF137">
        <v>8.2583255767822266</v>
      </c>
      <c r="AG137">
        <v>3.5496597290039063</v>
      </c>
      <c r="AH137">
        <v>10</v>
      </c>
      <c r="AI137">
        <v>0</v>
      </c>
    </row>
    <row r="138" spans="1:35" x14ac:dyDescent="0.25">
      <c r="A138" t="s">
        <v>434</v>
      </c>
      <c r="B138">
        <v>893571058.91487551</v>
      </c>
      <c r="C138" t="s">
        <v>435</v>
      </c>
      <c r="E138">
        <v>73.5</v>
      </c>
      <c r="F138">
        <v>72.900000000000006</v>
      </c>
      <c r="H138">
        <v>4.5100002288818359</v>
      </c>
      <c r="I138">
        <v>4.1431674957275391</v>
      </c>
      <c r="J138">
        <v>0.35849055647850037</v>
      </c>
      <c r="K138" t="s">
        <v>496</v>
      </c>
      <c r="M138">
        <v>3.6962006092071533</v>
      </c>
      <c r="N138">
        <v>7.6400671005249023</v>
      </c>
      <c r="O138">
        <v>6.9017324447631836</v>
      </c>
      <c r="P138">
        <v>1.5</v>
      </c>
      <c r="Q138">
        <v>3</v>
      </c>
      <c r="R138">
        <v>10</v>
      </c>
      <c r="T138">
        <v>0.25862067937850952</v>
      </c>
      <c r="U138">
        <v>0.5</v>
      </c>
      <c r="V138">
        <v>0.73076921701431274</v>
      </c>
      <c r="W138">
        <v>0</v>
      </c>
      <c r="X138">
        <v>0</v>
      </c>
      <c r="Y138" t="s">
        <v>530</v>
      </c>
      <c r="Z138" t="s">
        <v>86</v>
      </c>
      <c r="AA138" t="s">
        <v>493</v>
      </c>
      <c r="AB138" t="s">
        <v>22</v>
      </c>
      <c r="AC138" t="s">
        <v>22</v>
      </c>
      <c r="AE138">
        <v>5.3120598793029785</v>
      </c>
      <c r="AF138">
        <v>9.5405540466308594</v>
      </c>
      <c r="AG138">
        <v>7.0203371047973633</v>
      </c>
      <c r="AH138">
        <v>5</v>
      </c>
      <c r="AI138">
        <v>10</v>
      </c>
    </row>
    <row r="139" spans="1:35" x14ac:dyDescent="0.25">
      <c r="A139" t="s">
        <v>436</v>
      </c>
      <c r="B139">
        <v>868204984.74462628</v>
      </c>
      <c r="C139" t="s">
        <v>237</v>
      </c>
      <c r="E139" t="s">
        <v>238</v>
      </c>
      <c r="F139" t="s">
        <v>238</v>
      </c>
      <c r="H139" t="s">
        <v>238</v>
      </c>
      <c r="I139" t="s">
        <v>238</v>
      </c>
      <c r="J139" t="s">
        <v>238</v>
      </c>
      <c r="M139" t="s">
        <v>238</v>
      </c>
      <c r="N139" t="s">
        <v>238</v>
      </c>
      <c r="O139" t="s">
        <v>238</v>
      </c>
      <c r="P139" t="s">
        <v>238</v>
      </c>
      <c r="Q139" t="s">
        <v>238</v>
      </c>
      <c r="R139" t="s">
        <v>238</v>
      </c>
      <c r="T139" t="s">
        <v>238</v>
      </c>
      <c r="U139" t="s">
        <v>238</v>
      </c>
      <c r="V139" t="s">
        <v>238</v>
      </c>
      <c r="W139" t="s">
        <v>238</v>
      </c>
      <c r="X139" t="s">
        <v>238</v>
      </c>
      <c r="AE139" t="s">
        <v>238</v>
      </c>
      <c r="AF139" t="s">
        <v>238</v>
      </c>
      <c r="AG139" t="s">
        <v>238</v>
      </c>
      <c r="AH139" t="s">
        <v>238</v>
      </c>
      <c r="AI139" t="s">
        <v>238</v>
      </c>
    </row>
    <row r="140" spans="1:35" x14ac:dyDescent="0.25">
      <c r="A140" t="s">
        <v>437</v>
      </c>
      <c r="B140">
        <v>845761875.05957997</v>
      </c>
      <c r="C140" t="s">
        <v>219</v>
      </c>
      <c r="E140">
        <v>2.4</v>
      </c>
      <c r="F140">
        <v>6.5</v>
      </c>
      <c r="H140">
        <v>1.1100000143051147</v>
      </c>
      <c r="I140">
        <v>0.653941810131073</v>
      </c>
      <c r="J140">
        <v>0</v>
      </c>
      <c r="K140" t="s">
        <v>22</v>
      </c>
      <c r="M140">
        <v>0.59242343902587891</v>
      </c>
      <c r="N140">
        <v>0.41224989295005798</v>
      </c>
      <c r="O140">
        <v>0.31812429428100586</v>
      </c>
      <c r="P140">
        <v>1.5</v>
      </c>
      <c r="Q140">
        <v>0</v>
      </c>
      <c r="R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22</v>
      </c>
      <c r="Z140" t="s">
        <v>22</v>
      </c>
      <c r="AA140" t="s">
        <v>22</v>
      </c>
      <c r="AB140" t="s">
        <v>22</v>
      </c>
      <c r="AC140" t="s">
        <v>22</v>
      </c>
      <c r="AE140">
        <v>1.9747449159622192</v>
      </c>
      <c r="AF140">
        <v>1.3741663694381714</v>
      </c>
      <c r="AG140">
        <v>1.0604143142700195</v>
      </c>
      <c r="AH140">
        <v>5</v>
      </c>
      <c r="AI140">
        <v>0</v>
      </c>
    </row>
    <row r="141" spans="1:35" x14ac:dyDescent="0.25">
      <c r="A141" t="s">
        <v>438</v>
      </c>
      <c r="B141">
        <v>726017687.74818873</v>
      </c>
      <c r="C141" t="s">
        <v>310</v>
      </c>
      <c r="E141">
        <v>13.5</v>
      </c>
      <c r="F141">
        <v>12.9</v>
      </c>
      <c r="H141">
        <v>2.1400001049041748</v>
      </c>
      <c r="I141">
        <v>1.0784633159637451</v>
      </c>
      <c r="J141">
        <v>9.4339624047279358E-2</v>
      </c>
      <c r="K141" t="s">
        <v>527</v>
      </c>
      <c r="M141">
        <v>1.8067368268966675</v>
      </c>
      <c r="N141">
        <v>0.7653312087059021</v>
      </c>
      <c r="O141">
        <v>1.5</v>
      </c>
      <c r="P141">
        <v>1.5</v>
      </c>
      <c r="Q141">
        <v>0</v>
      </c>
      <c r="R141">
        <v>0</v>
      </c>
      <c r="T141">
        <v>0.17241379618644714</v>
      </c>
      <c r="U141">
        <v>0</v>
      </c>
      <c r="V141">
        <v>0</v>
      </c>
      <c r="W141">
        <v>0</v>
      </c>
      <c r="X141">
        <v>0</v>
      </c>
      <c r="Y141" t="s">
        <v>499</v>
      </c>
      <c r="Z141" t="s">
        <v>22</v>
      </c>
      <c r="AA141" t="s">
        <v>22</v>
      </c>
      <c r="AB141" t="s">
        <v>22</v>
      </c>
      <c r="AC141" t="s">
        <v>22</v>
      </c>
      <c r="AE141">
        <v>2.8069014549255371</v>
      </c>
      <c r="AF141">
        <v>2.5511040687561035</v>
      </c>
      <c r="AG141">
        <v>5</v>
      </c>
      <c r="AH141">
        <v>5</v>
      </c>
      <c r="AI141">
        <v>0</v>
      </c>
    </row>
    <row r="142" spans="1:35" x14ac:dyDescent="0.25">
      <c r="A142" t="s">
        <v>439</v>
      </c>
      <c r="B142">
        <v>699998593.85016465</v>
      </c>
      <c r="C142" t="s">
        <v>310</v>
      </c>
      <c r="E142">
        <v>29.4</v>
      </c>
      <c r="F142">
        <v>39.4</v>
      </c>
      <c r="H142">
        <v>2.9100000858306885</v>
      </c>
      <c r="I142">
        <v>2.4855151176452637</v>
      </c>
      <c r="J142">
        <v>0.16981132328510284</v>
      </c>
      <c r="K142" t="s">
        <v>499</v>
      </c>
      <c r="M142">
        <v>1.2386584281921387</v>
      </c>
      <c r="N142">
        <v>3.478351354598999</v>
      </c>
      <c r="O142">
        <v>0.84982138872146606</v>
      </c>
      <c r="P142">
        <v>1.5</v>
      </c>
      <c r="Q142">
        <v>9.2156858444213867</v>
      </c>
      <c r="R142">
        <v>0</v>
      </c>
      <c r="T142">
        <v>0.17241379618644714</v>
      </c>
      <c r="U142">
        <v>0.5</v>
      </c>
      <c r="V142">
        <v>0</v>
      </c>
      <c r="W142">
        <v>0</v>
      </c>
      <c r="X142">
        <v>1</v>
      </c>
      <c r="Y142" t="s">
        <v>499</v>
      </c>
      <c r="Z142" t="s">
        <v>86</v>
      </c>
      <c r="AA142" t="s">
        <v>22</v>
      </c>
      <c r="AB142" t="s">
        <v>22</v>
      </c>
      <c r="AC142" t="s">
        <v>31</v>
      </c>
      <c r="AE142">
        <v>1.809916615486145</v>
      </c>
      <c r="AF142">
        <v>3.3610367774963379</v>
      </c>
      <c r="AG142">
        <v>2.832737922668457</v>
      </c>
      <c r="AH142">
        <v>5</v>
      </c>
      <c r="AI142">
        <v>8.8888893127441406</v>
      </c>
    </row>
    <row r="143" spans="1:35" x14ac:dyDescent="0.25">
      <c r="A143" t="s">
        <v>440</v>
      </c>
      <c r="B143">
        <v>625599004.95521927</v>
      </c>
      <c r="C143" t="s">
        <v>385</v>
      </c>
      <c r="E143">
        <v>17.100000000000001</v>
      </c>
      <c r="F143">
        <v>45.9</v>
      </c>
      <c r="H143">
        <v>2.4200000762939453</v>
      </c>
      <c r="I143">
        <v>2.8073997497558594</v>
      </c>
      <c r="J143">
        <v>0.34905660152435303</v>
      </c>
      <c r="K143" t="s">
        <v>513</v>
      </c>
      <c r="M143">
        <v>3.3197782039642334</v>
      </c>
      <c r="N143">
        <v>6.7765254974365234</v>
      </c>
      <c r="O143">
        <v>4.4002895355224609</v>
      </c>
      <c r="P143">
        <v>1.5</v>
      </c>
      <c r="Q143">
        <v>0</v>
      </c>
      <c r="R143">
        <v>0</v>
      </c>
      <c r="T143">
        <v>0.24137930572032928</v>
      </c>
      <c r="U143">
        <v>0.5</v>
      </c>
      <c r="V143">
        <v>0.73076921701431274</v>
      </c>
      <c r="W143">
        <v>0</v>
      </c>
      <c r="X143">
        <v>0</v>
      </c>
      <c r="Y143" t="s">
        <v>503</v>
      </c>
      <c r="Z143" t="s">
        <v>86</v>
      </c>
      <c r="AA143" t="s">
        <v>493</v>
      </c>
      <c r="AB143" t="s">
        <v>22</v>
      </c>
      <c r="AC143" t="s">
        <v>22</v>
      </c>
      <c r="AE143">
        <v>4.8340287208557129</v>
      </c>
      <c r="AF143">
        <v>8.2583255767822266</v>
      </c>
      <c r="AG143">
        <v>3.4406085014343262</v>
      </c>
      <c r="AH143">
        <v>5</v>
      </c>
      <c r="AI143">
        <v>0</v>
      </c>
    </row>
    <row r="144" spans="1:35" x14ac:dyDescent="0.25">
      <c r="A144" t="s">
        <v>442</v>
      </c>
      <c r="B144">
        <v>620972190.95999992</v>
      </c>
      <c r="C144" t="s">
        <v>229</v>
      </c>
      <c r="E144">
        <v>50.6</v>
      </c>
      <c r="F144">
        <v>18.8</v>
      </c>
      <c r="H144">
        <v>3.7200000286102295</v>
      </c>
      <c r="I144">
        <v>1.3508975505828857</v>
      </c>
      <c r="J144">
        <v>4.7169812023639679E-2</v>
      </c>
      <c r="K144" t="s">
        <v>526</v>
      </c>
      <c r="M144">
        <v>0.99602514505386353</v>
      </c>
      <c r="N144">
        <v>2.4774978160858154</v>
      </c>
      <c r="O144">
        <v>1.5</v>
      </c>
      <c r="P144">
        <v>1.5</v>
      </c>
      <c r="Q144">
        <v>0</v>
      </c>
      <c r="R144">
        <v>0</v>
      </c>
      <c r="T144">
        <v>8.6206898093223572E-2</v>
      </c>
      <c r="U144">
        <v>0</v>
      </c>
      <c r="V144">
        <v>0</v>
      </c>
      <c r="W144">
        <v>0</v>
      </c>
      <c r="X144">
        <v>0</v>
      </c>
      <c r="Y144" t="s">
        <v>527</v>
      </c>
      <c r="Z144" t="s">
        <v>22</v>
      </c>
      <c r="AA144" t="s">
        <v>22</v>
      </c>
      <c r="AB144" t="s">
        <v>22</v>
      </c>
      <c r="AC144" t="s">
        <v>22</v>
      </c>
      <c r="AE144">
        <v>1.9747449159622192</v>
      </c>
      <c r="AF144">
        <v>8.2583255767822266</v>
      </c>
      <c r="AG144">
        <v>5</v>
      </c>
      <c r="AH144">
        <v>5</v>
      </c>
      <c r="AI144">
        <v>0</v>
      </c>
    </row>
    <row r="145" spans="1:35" x14ac:dyDescent="0.25">
      <c r="A145" t="s">
        <v>443</v>
      </c>
      <c r="B145">
        <v>616838640.89972961</v>
      </c>
      <c r="C145" t="s">
        <v>287</v>
      </c>
      <c r="E145">
        <v>1.2</v>
      </c>
      <c r="F145">
        <v>4.7</v>
      </c>
      <c r="H145">
        <v>0.88999998569488525</v>
      </c>
      <c r="I145">
        <v>0.55736041069030762</v>
      </c>
      <c r="J145">
        <v>1.8867924809455872E-2</v>
      </c>
      <c r="K145" t="s">
        <v>534</v>
      </c>
      <c r="M145">
        <v>0.33544823527336121</v>
      </c>
      <c r="N145">
        <v>0.41224989295005798</v>
      </c>
      <c r="O145">
        <v>0</v>
      </c>
      <c r="P145">
        <v>1.5</v>
      </c>
      <c r="Q145">
        <v>0</v>
      </c>
      <c r="R145">
        <v>0</v>
      </c>
      <c r="T145">
        <v>3.4482758492231369E-2</v>
      </c>
      <c r="U145">
        <v>0</v>
      </c>
      <c r="V145">
        <v>0</v>
      </c>
      <c r="W145">
        <v>0</v>
      </c>
      <c r="X145">
        <v>0</v>
      </c>
      <c r="Y145" t="s">
        <v>535</v>
      </c>
      <c r="Z145" t="s">
        <v>22</v>
      </c>
      <c r="AA145" t="s">
        <v>22</v>
      </c>
      <c r="AB145" t="s">
        <v>22</v>
      </c>
      <c r="AC145" t="s">
        <v>22</v>
      </c>
      <c r="AE145">
        <v>0.8790360689163208</v>
      </c>
      <c r="AF145">
        <v>1.3741663694381714</v>
      </c>
      <c r="AG145">
        <v>0</v>
      </c>
      <c r="AH145">
        <v>5</v>
      </c>
      <c r="AI145">
        <v>0</v>
      </c>
    </row>
    <row r="146" spans="1:35" x14ac:dyDescent="0.25">
      <c r="A146" t="s">
        <v>444</v>
      </c>
      <c r="B146">
        <v>614149454.87999988</v>
      </c>
      <c r="C146" t="s">
        <v>229</v>
      </c>
      <c r="E146">
        <v>11.2</v>
      </c>
      <c r="F146">
        <v>14.7</v>
      </c>
      <c r="H146">
        <v>1.940000057220459</v>
      </c>
      <c r="I146">
        <v>1.1849521398544312</v>
      </c>
      <c r="J146">
        <v>4.7169812023639679E-2</v>
      </c>
      <c r="K146" t="s">
        <v>526</v>
      </c>
      <c r="M146">
        <v>0.99602514505386353</v>
      </c>
      <c r="N146">
        <v>2.4774978160858154</v>
      </c>
      <c r="O146">
        <v>0.59242343902587891</v>
      </c>
      <c r="P146">
        <v>1.5</v>
      </c>
      <c r="Q146">
        <v>0</v>
      </c>
      <c r="R146">
        <v>0</v>
      </c>
      <c r="T146">
        <v>8.6206898093223572E-2</v>
      </c>
      <c r="U146">
        <v>0</v>
      </c>
      <c r="V146">
        <v>0</v>
      </c>
      <c r="W146">
        <v>0</v>
      </c>
      <c r="X146">
        <v>0</v>
      </c>
      <c r="Y146" t="s">
        <v>527</v>
      </c>
      <c r="Z146" t="s">
        <v>22</v>
      </c>
      <c r="AA146" t="s">
        <v>22</v>
      </c>
      <c r="AB146" t="s">
        <v>22</v>
      </c>
      <c r="AC146" t="s">
        <v>22</v>
      </c>
      <c r="AE146">
        <v>1.9747449159622192</v>
      </c>
      <c r="AF146">
        <v>8.2583255767822266</v>
      </c>
      <c r="AG146">
        <v>1.9747449159622192</v>
      </c>
      <c r="AH146">
        <v>5</v>
      </c>
      <c r="AI146">
        <v>0</v>
      </c>
    </row>
    <row r="147" spans="1:35" x14ac:dyDescent="0.25">
      <c r="A147" t="s">
        <v>445</v>
      </c>
      <c r="B147">
        <v>569774760.03584969</v>
      </c>
      <c r="C147" t="s">
        <v>423</v>
      </c>
      <c r="E147">
        <v>8.8000000000000007</v>
      </c>
      <c r="F147">
        <v>25.9</v>
      </c>
      <c r="H147">
        <v>1.3899999856948853</v>
      </c>
      <c r="I147">
        <v>1.7204340696334839</v>
      </c>
      <c r="J147">
        <v>0.34905660152435303</v>
      </c>
      <c r="K147" t="s">
        <v>513</v>
      </c>
      <c r="M147">
        <v>1.8994420766830444</v>
      </c>
      <c r="N147">
        <v>5.1401944160461426</v>
      </c>
      <c r="O147">
        <v>4.4002895355224609</v>
      </c>
      <c r="P147">
        <v>0</v>
      </c>
      <c r="Q147">
        <v>0</v>
      </c>
      <c r="R147">
        <v>0</v>
      </c>
      <c r="T147">
        <v>0.24137930572032928</v>
      </c>
      <c r="U147">
        <v>0.5</v>
      </c>
      <c r="V147">
        <v>0.73076921701431274</v>
      </c>
      <c r="W147">
        <v>0</v>
      </c>
      <c r="X147">
        <v>0</v>
      </c>
      <c r="Y147" t="s">
        <v>503</v>
      </c>
      <c r="Z147" t="s">
        <v>86</v>
      </c>
      <c r="AA147" t="s">
        <v>493</v>
      </c>
      <c r="AB147" t="s">
        <v>22</v>
      </c>
      <c r="AC147" t="s">
        <v>22</v>
      </c>
      <c r="AE147">
        <v>2.4814603328704834</v>
      </c>
      <c r="AF147">
        <v>5.8286218643188477</v>
      </c>
      <c r="AG147">
        <v>3.4406085014343262</v>
      </c>
      <c r="AH147">
        <v>0</v>
      </c>
      <c r="AI147">
        <v>0</v>
      </c>
    </row>
    <row r="148" spans="1:35" x14ac:dyDescent="0.25">
      <c r="A148" t="s">
        <v>448</v>
      </c>
      <c r="B148">
        <v>520876473.05999994</v>
      </c>
      <c r="C148" t="s">
        <v>229</v>
      </c>
      <c r="E148">
        <v>15.3</v>
      </c>
      <c r="F148">
        <v>22.4</v>
      </c>
      <c r="H148">
        <v>2.3399999141693115</v>
      </c>
      <c r="I148">
        <v>1.4920018911361694</v>
      </c>
      <c r="J148">
        <v>0.11320754885673523</v>
      </c>
      <c r="K148" t="s">
        <v>524</v>
      </c>
      <c r="M148">
        <v>2.228754997253418</v>
      </c>
      <c r="N148">
        <v>2.4774978160858154</v>
      </c>
      <c r="O148">
        <v>1.5</v>
      </c>
      <c r="P148">
        <v>1.5</v>
      </c>
      <c r="Q148">
        <v>0</v>
      </c>
      <c r="R148">
        <v>0</v>
      </c>
      <c r="T148">
        <v>0.20689655840396881</v>
      </c>
      <c r="U148">
        <v>0</v>
      </c>
      <c r="V148">
        <v>0</v>
      </c>
      <c r="W148">
        <v>0</v>
      </c>
      <c r="X148">
        <v>0</v>
      </c>
      <c r="Y148" t="s">
        <v>515</v>
      </c>
      <c r="Z148" t="s">
        <v>22</v>
      </c>
      <c r="AA148" t="s">
        <v>22</v>
      </c>
      <c r="AB148" t="s">
        <v>22</v>
      </c>
      <c r="AC148" t="s">
        <v>22</v>
      </c>
      <c r="AE148">
        <v>3.2755880355834961</v>
      </c>
      <c r="AF148">
        <v>8.2583255767822266</v>
      </c>
      <c r="AG148">
        <v>5</v>
      </c>
      <c r="AH148">
        <v>5</v>
      </c>
      <c r="AI148">
        <v>0</v>
      </c>
    </row>
    <row r="149" spans="1:35" x14ac:dyDescent="0.25">
      <c r="A149" t="s">
        <v>449</v>
      </c>
      <c r="B149">
        <v>478041750.41474712</v>
      </c>
      <c r="C149" t="s">
        <v>278</v>
      </c>
      <c r="E149">
        <v>71.8</v>
      </c>
      <c r="F149">
        <v>71.8</v>
      </c>
      <c r="H149">
        <v>4.369999885559082</v>
      </c>
      <c r="I149">
        <v>4.0568842887878418</v>
      </c>
      <c r="J149">
        <v>0.62264150381088257</v>
      </c>
      <c r="K149" t="s">
        <v>510</v>
      </c>
      <c r="M149">
        <v>5.2938737869262695</v>
      </c>
      <c r="N149">
        <v>9.675684928894043</v>
      </c>
      <c r="O149">
        <v>4.4764924049377441</v>
      </c>
      <c r="P149">
        <v>3</v>
      </c>
      <c r="Q149">
        <v>0</v>
      </c>
      <c r="R149">
        <v>0</v>
      </c>
      <c r="T149">
        <v>0.67241376638412476</v>
      </c>
      <c r="U149">
        <v>1</v>
      </c>
      <c r="V149">
        <v>0.73076921701431274</v>
      </c>
      <c r="W149">
        <v>0</v>
      </c>
      <c r="X149">
        <v>0</v>
      </c>
      <c r="Y149" t="s">
        <v>441</v>
      </c>
      <c r="Z149" t="s">
        <v>31</v>
      </c>
      <c r="AA149" t="s">
        <v>493</v>
      </c>
      <c r="AB149" t="s">
        <v>22</v>
      </c>
      <c r="AC149" t="s">
        <v>22</v>
      </c>
      <c r="AE149">
        <v>5.037691593170166</v>
      </c>
      <c r="AF149">
        <v>9.5405540466308594</v>
      </c>
      <c r="AG149">
        <v>3.5496597290039063</v>
      </c>
      <c r="AH149">
        <v>10</v>
      </c>
      <c r="AI149">
        <v>0</v>
      </c>
    </row>
    <row r="150" spans="1:35" x14ac:dyDescent="0.25">
      <c r="A150" t="s">
        <v>450</v>
      </c>
      <c r="B150">
        <v>383371076.48924619</v>
      </c>
      <c r="C150" t="s">
        <v>235</v>
      </c>
      <c r="E150">
        <v>14.1</v>
      </c>
      <c r="F150">
        <v>10.6</v>
      </c>
      <c r="H150">
        <v>2.1700000762939453</v>
      </c>
      <c r="I150">
        <v>0.90889835357666016</v>
      </c>
      <c r="J150">
        <v>0.11320754885673523</v>
      </c>
      <c r="K150" t="s">
        <v>524</v>
      </c>
      <c r="M150">
        <v>2.6290352344512939</v>
      </c>
      <c r="N150">
        <v>0.41224989295005798</v>
      </c>
      <c r="O150">
        <v>0.59242343902587891</v>
      </c>
      <c r="P150">
        <v>1.5</v>
      </c>
      <c r="Q150">
        <v>0</v>
      </c>
      <c r="R150">
        <v>0</v>
      </c>
      <c r="T150">
        <v>0.20689655840396881</v>
      </c>
      <c r="U150">
        <v>0</v>
      </c>
      <c r="V150">
        <v>0</v>
      </c>
      <c r="W150">
        <v>0</v>
      </c>
      <c r="X150">
        <v>0</v>
      </c>
      <c r="Y150" t="s">
        <v>515</v>
      </c>
      <c r="Z150" t="s">
        <v>22</v>
      </c>
      <c r="AA150" t="s">
        <v>22</v>
      </c>
      <c r="AB150" t="s">
        <v>22</v>
      </c>
      <c r="AC150" t="s">
        <v>22</v>
      </c>
      <c r="AE150">
        <v>3.9561889171600342</v>
      </c>
      <c r="AF150">
        <v>1.3741663694381714</v>
      </c>
      <c r="AG150">
        <v>1.9747449159622192</v>
      </c>
      <c r="AH150">
        <v>5</v>
      </c>
      <c r="AI150">
        <v>0</v>
      </c>
    </row>
    <row r="151" spans="1:35" x14ac:dyDescent="0.25">
      <c r="A151" t="s">
        <v>451</v>
      </c>
      <c r="B151">
        <v>320380275.65593505</v>
      </c>
      <c r="C151" t="s">
        <v>235</v>
      </c>
      <c r="E151">
        <v>7.6</v>
      </c>
      <c r="F151">
        <v>3.5</v>
      </c>
      <c r="H151">
        <v>1.2999999523162842</v>
      </c>
      <c r="I151">
        <v>0.40569186210632324</v>
      </c>
      <c r="J151">
        <v>6.6037736833095551E-2</v>
      </c>
      <c r="K151" t="s">
        <v>532</v>
      </c>
      <c r="M151">
        <v>1.4113576412200928</v>
      </c>
      <c r="N151">
        <v>0.7653312087059021</v>
      </c>
      <c r="O151">
        <v>0.59242343902587891</v>
      </c>
      <c r="P151">
        <v>0</v>
      </c>
      <c r="Q151">
        <v>0</v>
      </c>
      <c r="R151">
        <v>0</v>
      </c>
      <c r="T151">
        <v>0.12068965286016464</v>
      </c>
      <c r="U151">
        <v>0</v>
      </c>
      <c r="V151">
        <v>0</v>
      </c>
      <c r="W151">
        <v>0</v>
      </c>
      <c r="X151">
        <v>0</v>
      </c>
      <c r="Y151" t="s">
        <v>531</v>
      </c>
      <c r="Z151" t="s">
        <v>22</v>
      </c>
      <c r="AA151" t="s">
        <v>22</v>
      </c>
      <c r="AB151" t="s">
        <v>22</v>
      </c>
      <c r="AC151" t="s">
        <v>22</v>
      </c>
      <c r="AE151">
        <v>2.494966983795166</v>
      </c>
      <c r="AF151">
        <v>2.5511040687561035</v>
      </c>
      <c r="AG151">
        <v>1.9747449159622192</v>
      </c>
      <c r="AH151">
        <v>0</v>
      </c>
      <c r="AI151">
        <v>0</v>
      </c>
    </row>
    <row r="152" spans="1:35" x14ac:dyDescent="0.25">
      <c r="A152" t="s">
        <v>452</v>
      </c>
      <c r="B152">
        <v>310185558.46006799</v>
      </c>
      <c r="C152" t="s">
        <v>453</v>
      </c>
      <c r="E152">
        <v>14.7</v>
      </c>
      <c r="F152">
        <v>12.4</v>
      </c>
      <c r="H152">
        <v>2.25</v>
      </c>
      <c r="I152">
        <v>1.030139684677124</v>
      </c>
      <c r="J152">
        <v>6.6037736833095551E-2</v>
      </c>
      <c r="K152" t="s">
        <v>532</v>
      </c>
      <c r="M152">
        <v>3.5257573127746582</v>
      </c>
      <c r="N152">
        <v>0.41224989295005798</v>
      </c>
      <c r="O152">
        <v>0.84982138872146606</v>
      </c>
      <c r="P152">
        <v>1.5</v>
      </c>
      <c r="Q152">
        <v>0</v>
      </c>
      <c r="R152">
        <v>0</v>
      </c>
      <c r="T152">
        <v>0.12068965286016464</v>
      </c>
      <c r="U152">
        <v>0</v>
      </c>
      <c r="V152">
        <v>0</v>
      </c>
      <c r="W152">
        <v>0</v>
      </c>
      <c r="X152">
        <v>0</v>
      </c>
      <c r="Y152" t="s">
        <v>531</v>
      </c>
      <c r="Z152" t="s">
        <v>22</v>
      </c>
      <c r="AA152" t="s">
        <v>22</v>
      </c>
      <c r="AB152" t="s">
        <v>22</v>
      </c>
      <c r="AC152" t="s">
        <v>22</v>
      </c>
      <c r="AE152">
        <v>6.4426512718200684</v>
      </c>
      <c r="AF152">
        <v>1.3741663694381714</v>
      </c>
      <c r="AG152">
        <v>2.832737922668457</v>
      </c>
      <c r="AH152">
        <v>5</v>
      </c>
      <c r="AI152">
        <v>0</v>
      </c>
    </row>
    <row r="153" spans="1:35" x14ac:dyDescent="0.25">
      <c r="A153" t="s">
        <v>454</v>
      </c>
      <c r="B153">
        <v>309853347.28045899</v>
      </c>
      <c r="C153" t="s">
        <v>268</v>
      </c>
      <c r="E153">
        <v>40</v>
      </c>
      <c r="F153">
        <v>57.1</v>
      </c>
      <c r="H153">
        <v>3.2599999904632568</v>
      </c>
      <c r="I153">
        <v>3.2468814849853516</v>
      </c>
      <c r="J153">
        <v>0.45283019542694092</v>
      </c>
      <c r="K153" t="s">
        <v>494</v>
      </c>
      <c r="M153">
        <v>3.4242291450500488</v>
      </c>
      <c r="N153">
        <v>9.675684928894043</v>
      </c>
      <c r="O153">
        <v>4.323793888092041</v>
      </c>
      <c r="P153">
        <v>1.5</v>
      </c>
      <c r="Q153">
        <v>0</v>
      </c>
      <c r="R153">
        <v>0</v>
      </c>
      <c r="T153">
        <v>0.36206895112991333</v>
      </c>
      <c r="U153">
        <v>1</v>
      </c>
      <c r="V153">
        <v>0.73076921701431274</v>
      </c>
      <c r="W153">
        <v>0</v>
      </c>
      <c r="X153">
        <v>0</v>
      </c>
      <c r="Y153" t="s">
        <v>496</v>
      </c>
      <c r="Z153" t="s">
        <v>31</v>
      </c>
      <c r="AA153" t="s">
        <v>493</v>
      </c>
      <c r="AB153" t="s">
        <v>22</v>
      </c>
      <c r="AC153" t="s">
        <v>22</v>
      </c>
      <c r="AE153">
        <v>4.1213507652282715</v>
      </c>
      <c r="AF153">
        <v>9.5405540466308594</v>
      </c>
      <c r="AG153">
        <v>3.3311388492584229</v>
      </c>
      <c r="AH153">
        <v>5</v>
      </c>
      <c r="AI153">
        <v>0</v>
      </c>
    </row>
    <row r="154" spans="1:35" x14ac:dyDescent="0.25">
      <c r="A154" t="s">
        <v>455</v>
      </c>
      <c r="B154">
        <v>285313186.65340084</v>
      </c>
      <c r="C154" t="s">
        <v>265</v>
      </c>
      <c r="E154">
        <v>24.1</v>
      </c>
      <c r="F154">
        <v>17.600000000000001</v>
      </c>
      <c r="H154">
        <v>2.6600000858306885</v>
      </c>
      <c r="I154">
        <v>1.2988095283508301</v>
      </c>
      <c r="J154">
        <v>0.33018869161605835</v>
      </c>
      <c r="K154" t="s">
        <v>497</v>
      </c>
      <c r="M154">
        <v>0.48931458592414856</v>
      </c>
      <c r="N154">
        <v>0.7653312087059021</v>
      </c>
      <c r="O154">
        <v>4.4002895355224609</v>
      </c>
      <c r="P154">
        <v>1.5</v>
      </c>
      <c r="Q154">
        <v>0</v>
      </c>
      <c r="R154">
        <v>0</v>
      </c>
      <c r="T154">
        <v>0.27586206793785095</v>
      </c>
      <c r="U154">
        <v>0</v>
      </c>
      <c r="V154">
        <v>0.73076921701431274</v>
      </c>
      <c r="W154">
        <v>0</v>
      </c>
      <c r="X154">
        <v>0</v>
      </c>
      <c r="Y154" t="s">
        <v>492</v>
      </c>
      <c r="Z154" t="s">
        <v>22</v>
      </c>
      <c r="AA154" t="s">
        <v>493</v>
      </c>
      <c r="AB154" t="s">
        <v>22</v>
      </c>
      <c r="AC154" t="s">
        <v>22</v>
      </c>
      <c r="AE154">
        <v>0.51351469755172729</v>
      </c>
      <c r="AF154">
        <v>2.5511040687561035</v>
      </c>
      <c r="AG154">
        <v>3.4406085014343262</v>
      </c>
      <c r="AH154">
        <v>5</v>
      </c>
      <c r="AI154">
        <v>0</v>
      </c>
    </row>
    <row r="155" spans="1:35" x14ac:dyDescent="0.25">
      <c r="A155" t="s">
        <v>456</v>
      </c>
      <c r="B155">
        <v>265439182.63573477</v>
      </c>
      <c r="C155" t="s">
        <v>233</v>
      </c>
      <c r="E155">
        <v>42.4</v>
      </c>
      <c r="F155">
        <v>54.1</v>
      </c>
      <c r="H155">
        <v>3.369999885559082</v>
      </c>
      <c r="I155">
        <v>3.1540884971618652</v>
      </c>
      <c r="J155">
        <v>0.4791666567325592</v>
      </c>
      <c r="K155" t="s">
        <v>536</v>
      </c>
      <c r="M155">
        <v>2.9466044902801514</v>
      </c>
      <c r="N155">
        <v>9.343806266784668</v>
      </c>
      <c r="O155">
        <v>4.4002895355224609</v>
      </c>
      <c r="P155">
        <v>1.5</v>
      </c>
      <c r="Q155">
        <v>0</v>
      </c>
      <c r="R155">
        <v>0</v>
      </c>
      <c r="T155">
        <v>0.3958333432674408</v>
      </c>
      <c r="U155">
        <v>1</v>
      </c>
      <c r="V155">
        <v>0.73076921701431274</v>
      </c>
      <c r="W155">
        <v>0</v>
      </c>
      <c r="X155">
        <v>0</v>
      </c>
      <c r="Y155" t="s">
        <v>23</v>
      </c>
      <c r="Z155" t="s">
        <v>31</v>
      </c>
      <c r="AA155" t="s">
        <v>493</v>
      </c>
      <c r="AB155" t="s">
        <v>22</v>
      </c>
      <c r="AC155" t="s">
        <v>22</v>
      </c>
      <c r="AE155">
        <v>3.1719553470611572</v>
      </c>
      <c r="AF155">
        <v>9.0703926086425781</v>
      </c>
      <c r="AG155">
        <v>3.4406085014343262</v>
      </c>
      <c r="AH155">
        <v>5</v>
      </c>
      <c r="AI155">
        <v>0</v>
      </c>
    </row>
    <row r="156" spans="1:35" x14ac:dyDescent="0.25">
      <c r="A156" t="s">
        <v>458</v>
      </c>
      <c r="B156">
        <v>247804688.53396928</v>
      </c>
      <c r="C156" t="s">
        <v>395</v>
      </c>
      <c r="E156">
        <v>32.4</v>
      </c>
      <c r="F156">
        <v>24.7</v>
      </c>
      <c r="H156">
        <v>2.9900000095367432</v>
      </c>
      <c r="I156">
        <v>1.6734306812286377</v>
      </c>
      <c r="J156">
        <v>5.6603774428367615E-2</v>
      </c>
      <c r="K156" t="s">
        <v>537</v>
      </c>
      <c r="M156">
        <v>4.0849542617797852</v>
      </c>
      <c r="N156">
        <v>3.478351354598999</v>
      </c>
      <c r="O156">
        <v>0.59242343902587891</v>
      </c>
      <c r="P156">
        <v>1.5</v>
      </c>
      <c r="Q156">
        <v>0</v>
      </c>
      <c r="R156">
        <v>0</v>
      </c>
      <c r="T156">
        <v>3.4482758492231369E-2</v>
      </c>
      <c r="U156">
        <v>0.5</v>
      </c>
      <c r="V156">
        <v>0</v>
      </c>
      <c r="W156">
        <v>0</v>
      </c>
      <c r="X156">
        <v>0</v>
      </c>
      <c r="Y156" t="s">
        <v>535</v>
      </c>
      <c r="Z156" t="s">
        <v>86</v>
      </c>
      <c r="AA156" t="s">
        <v>22</v>
      </c>
      <c r="AB156" t="s">
        <v>22</v>
      </c>
      <c r="AC156" t="s">
        <v>22</v>
      </c>
      <c r="AE156">
        <v>9.5405540466308594</v>
      </c>
      <c r="AF156">
        <v>3.3610367774963379</v>
      </c>
      <c r="AG156">
        <v>1.9747449159622192</v>
      </c>
      <c r="AH156">
        <v>5</v>
      </c>
      <c r="AI156">
        <v>0</v>
      </c>
    </row>
    <row r="157" spans="1:35" x14ac:dyDescent="0.25">
      <c r="A157" t="s">
        <v>459</v>
      </c>
      <c r="B157">
        <v>247293571.72189471</v>
      </c>
      <c r="C157" t="s">
        <v>235</v>
      </c>
      <c r="E157">
        <v>4.7</v>
      </c>
      <c r="F157">
        <v>2.1</v>
      </c>
      <c r="H157">
        <v>1.2100000381469727</v>
      </c>
      <c r="I157">
        <v>0.36675837635993958</v>
      </c>
      <c r="J157">
        <v>4.7169812023639679E-2</v>
      </c>
      <c r="K157" t="s">
        <v>526</v>
      </c>
      <c r="M157">
        <v>0.99602514505386353</v>
      </c>
      <c r="N157">
        <v>0.7653312087059021</v>
      </c>
      <c r="O157">
        <v>0.59242343902587891</v>
      </c>
      <c r="P157">
        <v>0</v>
      </c>
      <c r="Q157">
        <v>0</v>
      </c>
      <c r="R157">
        <v>0</v>
      </c>
      <c r="T157">
        <v>8.6206898093223572E-2</v>
      </c>
      <c r="U157">
        <v>0</v>
      </c>
      <c r="V157">
        <v>0</v>
      </c>
      <c r="W157">
        <v>0</v>
      </c>
      <c r="X157">
        <v>0</v>
      </c>
      <c r="Y157" t="s">
        <v>527</v>
      </c>
      <c r="Z157" t="s">
        <v>22</v>
      </c>
      <c r="AA157" t="s">
        <v>22</v>
      </c>
      <c r="AB157" t="s">
        <v>22</v>
      </c>
      <c r="AC157" t="s">
        <v>22</v>
      </c>
      <c r="AE157">
        <v>1.9747449159622192</v>
      </c>
      <c r="AF157">
        <v>2.5511040687561035</v>
      </c>
      <c r="AG157">
        <v>1.9747449159622192</v>
      </c>
      <c r="AH157">
        <v>0</v>
      </c>
      <c r="AI157">
        <v>0</v>
      </c>
    </row>
    <row r="158" spans="1:35" x14ac:dyDescent="0.25">
      <c r="A158" t="s">
        <v>460</v>
      </c>
      <c r="B158">
        <v>222690279.28675127</v>
      </c>
      <c r="C158" t="s">
        <v>235</v>
      </c>
      <c r="E158">
        <v>7.1</v>
      </c>
      <c r="F158">
        <v>2.1</v>
      </c>
      <c r="H158">
        <v>1.2899999618530273</v>
      </c>
      <c r="I158">
        <v>0.36675837635993958</v>
      </c>
      <c r="J158">
        <v>4.7169812023639679E-2</v>
      </c>
      <c r="K158" t="s">
        <v>526</v>
      </c>
      <c r="M158">
        <v>0.99602514505386353</v>
      </c>
      <c r="N158">
        <v>0.7653312087059021</v>
      </c>
      <c r="O158">
        <v>0.59242343902587891</v>
      </c>
      <c r="P158">
        <v>0</v>
      </c>
      <c r="Q158">
        <v>0</v>
      </c>
      <c r="R158">
        <v>0</v>
      </c>
      <c r="T158">
        <v>8.6206898093223572E-2</v>
      </c>
      <c r="U158">
        <v>0</v>
      </c>
      <c r="V158">
        <v>0</v>
      </c>
      <c r="W158">
        <v>0</v>
      </c>
      <c r="X158">
        <v>0</v>
      </c>
      <c r="Y158" t="s">
        <v>527</v>
      </c>
      <c r="Z158" t="s">
        <v>22</v>
      </c>
      <c r="AA158" t="s">
        <v>22</v>
      </c>
      <c r="AB158" t="s">
        <v>22</v>
      </c>
      <c r="AC158" t="s">
        <v>22</v>
      </c>
      <c r="AE158">
        <v>1.9747449159622192</v>
      </c>
      <c r="AF158">
        <v>2.5511040687561035</v>
      </c>
      <c r="AG158">
        <v>1.9747449159622192</v>
      </c>
      <c r="AH158">
        <v>0</v>
      </c>
      <c r="AI158">
        <v>0</v>
      </c>
    </row>
    <row r="159" spans="1:35" x14ac:dyDescent="0.25">
      <c r="A159" t="s">
        <v>461</v>
      </c>
      <c r="B159">
        <v>198094528.81394514</v>
      </c>
      <c r="C159" t="s">
        <v>237</v>
      </c>
      <c r="E159" t="s">
        <v>238</v>
      </c>
      <c r="F159" t="s">
        <v>238</v>
      </c>
      <c r="H159" t="s">
        <v>238</v>
      </c>
      <c r="I159" t="s">
        <v>238</v>
      </c>
      <c r="J159" t="s">
        <v>238</v>
      </c>
      <c r="M159" t="s">
        <v>238</v>
      </c>
      <c r="N159" t="s">
        <v>238</v>
      </c>
      <c r="O159" t="s">
        <v>238</v>
      </c>
      <c r="P159" t="s">
        <v>238</v>
      </c>
      <c r="Q159" t="s">
        <v>238</v>
      </c>
      <c r="R159" t="s">
        <v>238</v>
      </c>
      <c r="T159" t="s">
        <v>238</v>
      </c>
      <c r="U159" t="s">
        <v>238</v>
      </c>
      <c r="V159" t="s">
        <v>238</v>
      </c>
      <c r="W159" t="s">
        <v>238</v>
      </c>
      <c r="X159" t="s">
        <v>238</v>
      </c>
      <c r="AE159" t="s">
        <v>238</v>
      </c>
      <c r="AF159" t="s">
        <v>238</v>
      </c>
      <c r="AG159" t="s">
        <v>238</v>
      </c>
      <c r="AH159" t="s">
        <v>238</v>
      </c>
      <c r="AI159" t="s">
        <v>238</v>
      </c>
    </row>
    <row r="160" spans="1:35" x14ac:dyDescent="0.25">
      <c r="A160" t="s">
        <v>462</v>
      </c>
      <c r="B160">
        <v>98588373.523990855</v>
      </c>
      <c r="C160" t="s">
        <v>325</v>
      </c>
      <c r="E160">
        <v>66.5</v>
      </c>
      <c r="F160">
        <v>77.599999999999994</v>
      </c>
      <c r="H160">
        <v>4.25</v>
      </c>
      <c r="I160">
        <v>4.3414359092712402</v>
      </c>
      <c r="J160">
        <v>0.41509434580802917</v>
      </c>
      <c r="K160" t="s">
        <v>522</v>
      </c>
      <c r="M160">
        <v>4.7884531021118164</v>
      </c>
      <c r="N160">
        <v>7.9494895935058594</v>
      </c>
      <c r="O160">
        <v>8.8425416946411133</v>
      </c>
      <c r="P160">
        <v>3</v>
      </c>
      <c r="Q160">
        <v>0</v>
      </c>
      <c r="R160">
        <v>0</v>
      </c>
      <c r="T160">
        <v>0.27586206793785095</v>
      </c>
      <c r="U160">
        <v>0.5</v>
      </c>
      <c r="V160">
        <v>0.92307692766189575</v>
      </c>
      <c r="W160">
        <v>0</v>
      </c>
      <c r="X160">
        <v>0</v>
      </c>
      <c r="Y160" t="s">
        <v>492</v>
      </c>
      <c r="Z160" t="s">
        <v>86</v>
      </c>
      <c r="AA160" t="s">
        <v>221</v>
      </c>
      <c r="AB160" t="s">
        <v>22</v>
      </c>
      <c r="AC160" t="s">
        <v>22</v>
      </c>
      <c r="AE160">
        <v>6.9420943260192871</v>
      </c>
      <c r="AF160">
        <v>10</v>
      </c>
      <c r="AG160">
        <v>8.7490749359130859</v>
      </c>
      <c r="AH160">
        <v>10</v>
      </c>
      <c r="AI160">
        <v>0</v>
      </c>
    </row>
    <row r="161" spans="1:35" x14ac:dyDescent="0.25">
      <c r="A161" t="s">
        <v>463</v>
      </c>
      <c r="B161">
        <v>59198034.57857091</v>
      </c>
      <c r="C161" t="s">
        <v>237</v>
      </c>
      <c r="E161" t="s">
        <v>238</v>
      </c>
      <c r="F161" t="s">
        <v>238</v>
      </c>
      <c r="H161" t="s">
        <v>238</v>
      </c>
      <c r="I161" t="s">
        <v>238</v>
      </c>
      <c r="J161" t="s">
        <v>238</v>
      </c>
      <c r="M161" t="s">
        <v>238</v>
      </c>
      <c r="N161" t="s">
        <v>238</v>
      </c>
      <c r="O161" t="s">
        <v>238</v>
      </c>
      <c r="P161" t="s">
        <v>238</v>
      </c>
      <c r="Q161" t="s">
        <v>238</v>
      </c>
      <c r="R161" t="s">
        <v>238</v>
      </c>
      <c r="T161" t="s">
        <v>238</v>
      </c>
      <c r="U161" t="s">
        <v>238</v>
      </c>
      <c r="V161" t="s">
        <v>238</v>
      </c>
      <c r="W161" t="s">
        <v>238</v>
      </c>
      <c r="X161" t="s">
        <v>238</v>
      </c>
      <c r="AE161" t="s">
        <v>238</v>
      </c>
      <c r="AF161" t="s">
        <v>238</v>
      </c>
      <c r="AG161" t="s">
        <v>238</v>
      </c>
      <c r="AH161" t="s">
        <v>238</v>
      </c>
      <c r="AI161" t="s">
        <v>238</v>
      </c>
    </row>
    <row r="162" spans="1:35" x14ac:dyDescent="0.25">
      <c r="A162" t="s">
        <v>464</v>
      </c>
      <c r="B162">
        <v>46261143.940202296</v>
      </c>
      <c r="C162" t="s">
        <v>299</v>
      </c>
      <c r="E162">
        <v>24.7</v>
      </c>
      <c r="F162">
        <v>18.2</v>
      </c>
      <c r="H162">
        <v>2.7400000095367432</v>
      </c>
      <c r="I162">
        <v>1.3269543647766113</v>
      </c>
      <c r="J162">
        <v>0.17924527823925018</v>
      </c>
      <c r="K162" t="s">
        <v>523</v>
      </c>
      <c r="M162">
        <v>2.9190704822540283</v>
      </c>
      <c r="N162">
        <v>2.4774978160858154</v>
      </c>
      <c r="O162">
        <v>0.31812429428100586</v>
      </c>
      <c r="P162">
        <v>1.5</v>
      </c>
      <c r="Q162">
        <v>0</v>
      </c>
      <c r="R162">
        <v>0</v>
      </c>
      <c r="T162">
        <v>0.32758620381355286</v>
      </c>
      <c r="U162">
        <v>0</v>
      </c>
      <c r="V162">
        <v>0</v>
      </c>
      <c r="W162">
        <v>0</v>
      </c>
      <c r="X162">
        <v>0</v>
      </c>
      <c r="Y162" t="s">
        <v>497</v>
      </c>
      <c r="Z162" t="s">
        <v>22</v>
      </c>
      <c r="AA162" t="s">
        <v>22</v>
      </c>
      <c r="AB162" t="s">
        <v>22</v>
      </c>
      <c r="AC162" t="s">
        <v>22</v>
      </c>
      <c r="AE162">
        <v>3.5584621429443359</v>
      </c>
      <c r="AF162">
        <v>8.2583255767822266</v>
      </c>
      <c r="AG162">
        <v>1.0604143142700195</v>
      </c>
      <c r="AH162">
        <v>5</v>
      </c>
      <c r="AI162">
        <v>0</v>
      </c>
    </row>
    <row r="163" spans="1:35" x14ac:dyDescent="0.25">
      <c r="A163" t="s">
        <v>465</v>
      </c>
      <c r="B163">
        <v>28683378.459908012</v>
      </c>
      <c r="C163" t="s">
        <v>237</v>
      </c>
      <c r="E163" t="s">
        <v>238</v>
      </c>
      <c r="F163" t="s">
        <v>238</v>
      </c>
      <c r="H163" t="s">
        <v>238</v>
      </c>
      <c r="I163" t="s">
        <v>238</v>
      </c>
      <c r="J163" t="s">
        <v>238</v>
      </c>
      <c r="M163" t="s">
        <v>238</v>
      </c>
      <c r="N163" t="s">
        <v>238</v>
      </c>
      <c r="O163" t="s">
        <v>238</v>
      </c>
      <c r="P163" t="s">
        <v>238</v>
      </c>
      <c r="Q163" t="s">
        <v>238</v>
      </c>
      <c r="R163" t="s">
        <v>238</v>
      </c>
      <c r="T163" t="s">
        <v>238</v>
      </c>
      <c r="U163" t="s">
        <v>238</v>
      </c>
      <c r="V163" t="s">
        <v>238</v>
      </c>
      <c r="W163" t="s">
        <v>238</v>
      </c>
      <c r="X163" t="s">
        <v>238</v>
      </c>
      <c r="AE163" t="s">
        <v>238</v>
      </c>
      <c r="AF163" t="s">
        <v>238</v>
      </c>
      <c r="AG163" t="s">
        <v>238</v>
      </c>
      <c r="AH163" t="s">
        <v>238</v>
      </c>
      <c r="AI163" t="s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8C87-6742-446B-AE61-3B160F0C70B4}">
  <dimension ref="A1:Z163"/>
  <sheetViews>
    <sheetView workbookViewId="0">
      <selection sqref="A1:Z16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202</v>
      </c>
      <c r="I1" t="s">
        <v>6</v>
      </c>
      <c r="J1" t="s">
        <v>203</v>
      </c>
      <c r="K1" t="s">
        <v>204</v>
      </c>
      <c r="L1" t="s">
        <v>205</v>
      </c>
      <c r="N1" t="s">
        <v>206</v>
      </c>
      <c r="O1" t="s">
        <v>207</v>
      </c>
      <c r="P1" t="s">
        <v>208</v>
      </c>
      <c r="Q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</row>
    <row r="2" spans="1:26" x14ac:dyDescent="0.25">
      <c r="A2" t="s">
        <v>20</v>
      </c>
      <c r="B2" t="s">
        <v>218</v>
      </c>
      <c r="C2">
        <v>13808990527.234337</v>
      </c>
      <c r="D2" t="s">
        <v>219</v>
      </c>
      <c r="F2">
        <v>63.5</v>
      </c>
      <c r="G2">
        <v>27.6</v>
      </c>
      <c r="I2">
        <v>4.059999942779541</v>
      </c>
      <c r="J2">
        <v>4.6252236366271973</v>
      </c>
      <c r="K2">
        <v>0.86928105354309082</v>
      </c>
      <c r="L2" t="s">
        <v>220</v>
      </c>
      <c r="N2">
        <v>3.8911023139953613</v>
      </c>
      <c r="O2">
        <v>7.5491819381713867</v>
      </c>
      <c r="P2">
        <v>3.0839102268218994</v>
      </c>
      <c r="Q2">
        <v>4.8112521171569824</v>
      </c>
      <c r="S2">
        <v>0.91666668653488159</v>
      </c>
      <c r="T2">
        <v>1</v>
      </c>
      <c r="U2">
        <v>0.76190477609634399</v>
      </c>
      <c r="V2">
        <v>0.78723406791687012</v>
      </c>
      <c r="W2" t="s">
        <v>221</v>
      </c>
      <c r="X2" t="s">
        <v>31</v>
      </c>
      <c r="Y2" t="s">
        <v>222</v>
      </c>
      <c r="Z2" t="s">
        <v>29</v>
      </c>
    </row>
    <row r="3" spans="1:26" x14ac:dyDescent="0.25">
      <c r="B3" t="s">
        <v>24</v>
      </c>
    </row>
    <row r="4" spans="1:26" x14ac:dyDescent="0.25">
      <c r="A4" t="s">
        <v>25</v>
      </c>
      <c r="B4" t="s">
        <v>223</v>
      </c>
      <c r="C4">
        <v>227362350982.01196</v>
      </c>
      <c r="D4" t="s">
        <v>224</v>
      </c>
      <c r="F4">
        <v>26.5</v>
      </c>
      <c r="G4">
        <v>50.6</v>
      </c>
      <c r="I4">
        <v>2.7699999809265137</v>
      </c>
      <c r="J4">
        <v>5.4038529396057129</v>
      </c>
      <c r="K4">
        <v>0.93392068147659302</v>
      </c>
      <c r="L4" t="s">
        <v>225</v>
      </c>
      <c r="N4">
        <v>5.1047134399414063</v>
      </c>
      <c r="O4">
        <v>3.9857425689697266</v>
      </c>
      <c r="P4">
        <v>6.1683120727539063</v>
      </c>
      <c r="Q4">
        <v>7.5137896537780762</v>
      </c>
      <c r="S4">
        <v>1</v>
      </c>
      <c r="T4">
        <v>0.8888888955116272</v>
      </c>
      <c r="U4">
        <v>1</v>
      </c>
      <c r="V4">
        <v>0.90740740299224854</v>
      </c>
      <c r="W4" t="s">
        <v>31</v>
      </c>
      <c r="X4" t="s">
        <v>226</v>
      </c>
      <c r="Y4" t="s">
        <v>31</v>
      </c>
      <c r="Z4" t="s">
        <v>227</v>
      </c>
    </row>
    <row r="5" spans="1:26" x14ac:dyDescent="0.25">
      <c r="A5" t="s">
        <v>28</v>
      </c>
      <c r="B5" t="s">
        <v>228</v>
      </c>
      <c r="C5">
        <v>215645556649.69</v>
      </c>
      <c r="D5" t="s">
        <v>229</v>
      </c>
      <c r="F5">
        <v>96.5</v>
      </c>
      <c r="G5">
        <v>79.400000000000006</v>
      </c>
      <c r="I5">
        <v>5.7800002098083496</v>
      </c>
      <c r="J5">
        <v>6.6996464729309082</v>
      </c>
      <c r="K5">
        <v>1</v>
      </c>
      <c r="L5" t="s">
        <v>31</v>
      </c>
      <c r="N5">
        <v>5.2864274978637695</v>
      </c>
      <c r="O5">
        <v>7.8446440696716309</v>
      </c>
      <c r="P5">
        <v>6.0037732124328613</v>
      </c>
      <c r="Q5">
        <v>9.7407703399658203</v>
      </c>
      <c r="S5">
        <v>1</v>
      </c>
      <c r="T5">
        <v>1</v>
      </c>
      <c r="U5">
        <v>1</v>
      </c>
      <c r="V5">
        <v>1</v>
      </c>
      <c r="W5" t="s">
        <v>31</v>
      </c>
      <c r="X5" t="s">
        <v>31</v>
      </c>
      <c r="Y5" t="s">
        <v>31</v>
      </c>
      <c r="Z5" t="s">
        <v>31</v>
      </c>
    </row>
    <row r="6" spans="1:26" x14ac:dyDescent="0.25">
      <c r="A6" t="s">
        <v>32</v>
      </c>
      <c r="B6" t="s">
        <v>230</v>
      </c>
      <c r="C6">
        <v>192447199999.99997</v>
      </c>
      <c r="D6" t="s">
        <v>229</v>
      </c>
      <c r="F6">
        <v>93.5</v>
      </c>
      <c r="G6">
        <v>96.5</v>
      </c>
      <c r="I6">
        <v>5.6100001335144043</v>
      </c>
      <c r="J6">
        <v>7.8480186462402344</v>
      </c>
      <c r="K6">
        <v>1</v>
      </c>
      <c r="L6" t="s">
        <v>31</v>
      </c>
      <c r="N6">
        <v>6.7560286521911621</v>
      </c>
      <c r="O6">
        <v>8.8300943374633789</v>
      </c>
      <c r="P6">
        <v>8.1241788864135742</v>
      </c>
      <c r="Q6">
        <v>8.4397964477539063</v>
      </c>
      <c r="S6">
        <v>1</v>
      </c>
      <c r="T6">
        <v>1</v>
      </c>
      <c r="U6">
        <v>1</v>
      </c>
      <c r="V6">
        <v>1</v>
      </c>
      <c r="W6" t="s">
        <v>31</v>
      </c>
      <c r="X6" t="s">
        <v>31</v>
      </c>
      <c r="Y6" t="s">
        <v>31</v>
      </c>
      <c r="Z6" t="s">
        <v>31</v>
      </c>
    </row>
    <row r="7" spans="1:26" x14ac:dyDescent="0.25">
      <c r="A7" t="s">
        <v>35</v>
      </c>
      <c r="B7" t="s">
        <v>231</v>
      </c>
      <c r="C7">
        <v>184784899062.95993</v>
      </c>
      <c r="D7" t="s">
        <v>229</v>
      </c>
      <c r="F7">
        <v>90</v>
      </c>
      <c r="G7">
        <v>98.8</v>
      </c>
      <c r="I7">
        <v>5.4200000762939453</v>
      </c>
      <c r="J7">
        <v>8.1891269683837891</v>
      </c>
      <c r="K7">
        <v>1</v>
      </c>
      <c r="L7" t="s">
        <v>31</v>
      </c>
      <c r="N7">
        <v>7.5946288108825684</v>
      </c>
      <c r="O7">
        <v>8.2951135635375977</v>
      </c>
      <c r="P7">
        <v>8.7610092163085938</v>
      </c>
      <c r="Q7">
        <v>8.4875860214233398</v>
      </c>
      <c r="S7">
        <v>1</v>
      </c>
      <c r="T7">
        <v>1</v>
      </c>
      <c r="U7">
        <v>1</v>
      </c>
      <c r="V7">
        <v>1</v>
      </c>
      <c r="W7" t="s">
        <v>31</v>
      </c>
      <c r="X7" t="s">
        <v>31</v>
      </c>
      <c r="Y7" t="s">
        <v>31</v>
      </c>
      <c r="Z7" t="s">
        <v>31</v>
      </c>
    </row>
    <row r="8" spans="1:26" x14ac:dyDescent="0.25">
      <c r="A8" t="s">
        <v>36</v>
      </c>
      <c r="B8" t="s">
        <v>232</v>
      </c>
      <c r="C8">
        <v>177813005247.50076</v>
      </c>
      <c r="D8" t="s">
        <v>233</v>
      </c>
      <c r="F8">
        <v>85.3</v>
      </c>
      <c r="G8">
        <v>80.599999999999994</v>
      </c>
      <c r="I8">
        <v>4.9800000190734863</v>
      </c>
      <c r="J8">
        <v>6.7714300155639648</v>
      </c>
      <c r="K8">
        <v>1</v>
      </c>
      <c r="L8" t="s">
        <v>31</v>
      </c>
      <c r="N8">
        <v>6.8407883644104004</v>
      </c>
      <c r="O8">
        <v>7.8179922103881836</v>
      </c>
      <c r="P8">
        <v>4.5579409599304199</v>
      </c>
      <c r="Q8">
        <v>9.0398502349853516</v>
      </c>
      <c r="S8">
        <v>1</v>
      </c>
      <c r="T8">
        <v>1</v>
      </c>
      <c r="U8">
        <v>1</v>
      </c>
      <c r="V8">
        <v>1</v>
      </c>
      <c r="W8" t="s">
        <v>31</v>
      </c>
      <c r="X8" t="s">
        <v>31</v>
      </c>
      <c r="Y8" t="s">
        <v>31</v>
      </c>
      <c r="Z8" t="s">
        <v>31</v>
      </c>
    </row>
    <row r="9" spans="1:26" x14ac:dyDescent="0.25">
      <c r="A9" t="s">
        <v>37</v>
      </c>
      <c r="B9" t="s">
        <v>234</v>
      </c>
      <c r="C9">
        <v>133363475950.75661</v>
      </c>
      <c r="D9" t="s">
        <v>235</v>
      </c>
      <c r="F9">
        <v>57.4</v>
      </c>
      <c r="G9">
        <v>41.8</v>
      </c>
      <c r="I9">
        <v>3.9100000858306885</v>
      </c>
      <c r="J9">
        <v>5.1861715316772461</v>
      </c>
      <c r="K9">
        <v>1</v>
      </c>
      <c r="L9" t="s">
        <v>31</v>
      </c>
      <c r="N9">
        <v>2.8714957237243652</v>
      </c>
      <c r="O9">
        <v>4.5615158081054688</v>
      </c>
      <c r="P9">
        <v>7.2947769165039063</v>
      </c>
      <c r="Q9">
        <v>9.592442512512207</v>
      </c>
      <c r="S9">
        <v>1</v>
      </c>
      <c r="T9">
        <v>1</v>
      </c>
      <c r="U9">
        <v>1</v>
      </c>
      <c r="V9">
        <v>1</v>
      </c>
      <c r="W9" t="s">
        <v>31</v>
      </c>
      <c r="X9" t="s">
        <v>31</v>
      </c>
      <c r="Y9" t="s">
        <v>31</v>
      </c>
      <c r="Z9" t="s">
        <v>31</v>
      </c>
    </row>
    <row r="10" spans="1:26" x14ac:dyDescent="0.25">
      <c r="A10" t="s">
        <v>38</v>
      </c>
      <c r="B10" t="s">
        <v>236</v>
      </c>
      <c r="C10">
        <v>121702395711.74677</v>
      </c>
      <c r="D10" t="s">
        <v>237</v>
      </c>
      <c r="F10" t="s">
        <v>238</v>
      </c>
      <c r="G10" t="s">
        <v>238</v>
      </c>
      <c r="I10" t="s">
        <v>238</v>
      </c>
      <c r="J10" t="s">
        <v>238</v>
      </c>
      <c r="K10" t="s">
        <v>238</v>
      </c>
      <c r="N10" t="s">
        <v>238</v>
      </c>
      <c r="O10" t="s">
        <v>238</v>
      </c>
      <c r="P10" t="s">
        <v>238</v>
      </c>
      <c r="Q10" t="s">
        <v>238</v>
      </c>
      <c r="S10" t="s">
        <v>238</v>
      </c>
      <c r="T10" t="s">
        <v>238</v>
      </c>
      <c r="U10" t="s">
        <v>238</v>
      </c>
      <c r="V10" t="s">
        <v>238</v>
      </c>
    </row>
    <row r="11" spans="1:26" x14ac:dyDescent="0.25">
      <c r="A11" t="s">
        <v>39</v>
      </c>
      <c r="B11" t="s">
        <v>239</v>
      </c>
      <c r="C11">
        <v>100487838613.48544</v>
      </c>
      <c r="D11" t="s">
        <v>229</v>
      </c>
      <c r="F11">
        <v>75.599999999999994</v>
      </c>
      <c r="G11">
        <v>70.599999999999994</v>
      </c>
      <c r="I11">
        <v>4.5799999237060547</v>
      </c>
      <c r="J11">
        <v>6.3955106735229492</v>
      </c>
      <c r="K11">
        <v>0.99180328845977783</v>
      </c>
      <c r="L11" t="s">
        <v>240</v>
      </c>
      <c r="N11">
        <v>5.5139904022216797</v>
      </c>
      <c r="O11">
        <v>8.8316059112548828</v>
      </c>
      <c r="P11">
        <v>4.3361892700195313</v>
      </c>
      <c r="Q11">
        <v>8.5825700759887695</v>
      </c>
      <c r="S11">
        <v>1</v>
      </c>
      <c r="T11">
        <v>1</v>
      </c>
      <c r="U11">
        <v>0.93103450536727905</v>
      </c>
      <c r="V11">
        <v>1</v>
      </c>
      <c r="W11" t="s">
        <v>31</v>
      </c>
      <c r="X11" t="s">
        <v>31</v>
      </c>
      <c r="Y11" t="s">
        <v>225</v>
      </c>
      <c r="Z11" t="s">
        <v>31</v>
      </c>
    </row>
    <row r="12" spans="1:26" x14ac:dyDescent="0.25">
      <c r="A12" t="s">
        <v>41</v>
      </c>
      <c r="B12" t="s">
        <v>241</v>
      </c>
      <c r="C12">
        <v>86632570059.98642</v>
      </c>
      <c r="D12" t="s">
        <v>235</v>
      </c>
      <c r="F12">
        <v>99.4</v>
      </c>
      <c r="G12">
        <v>83.5</v>
      </c>
      <c r="I12">
        <v>6.8299999237060547</v>
      </c>
      <c r="J12">
        <v>7.0237054824829102</v>
      </c>
      <c r="K12">
        <v>1</v>
      </c>
      <c r="L12" t="s">
        <v>31</v>
      </c>
      <c r="N12">
        <v>6.1890444755554199</v>
      </c>
      <c r="O12">
        <v>6.9002447128295898</v>
      </c>
      <c r="P12">
        <v>8.1634683609008789</v>
      </c>
      <c r="Q12">
        <v>7.4004330635070801</v>
      </c>
      <c r="S12">
        <v>1</v>
      </c>
      <c r="T12">
        <v>1</v>
      </c>
      <c r="U12">
        <v>1</v>
      </c>
      <c r="V12">
        <v>1</v>
      </c>
      <c r="W12" t="s">
        <v>31</v>
      </c>
      <c r="X12" t="s">
        <v>31</v>
      </c>
      <c r="Y12" t="s">
        <v>31</v>
      </c>
      <c r="Z12" t="s">
        <v>31</v>
      </c>
    </row>
    <row r="13" spans="1:26" x14ac:dyDescent="0.25">
      <c r="A13" t="s">
        <v>42</v>
      </c>
      <c r="B13" t="s">
        <v>242</v>
      </c>
      <c r="C13">
        <v>81586942978.115906</v>
      </c>
      <c r="D13" t="s">
        <v>243</v>
      </c>
      <c r="F13">
        <v>52.4</v>
      </c>
      <c r="G13">
        <v>10</v>
      </c>
      <c r="I13">
        <v>3.7400000095367432</v>
      </c>
      <c r="J13">
        <v>3.313535213470459</v>
      </c>
      <c r="K13">
        <v>0.93243241310119629</v>
      </c>
      <c r="L13" t="s">
        <v>225</v>
      </c>
      <c r="N13">
        <v>3.7254688739776611</v>
      </c>
      <c r="O13">
        <v>2.2533307075500488</v>
      </c>
      <c r="P13">
        <v>1.4937342405319214</v>
      </c>
      <c r="Q13">
        <v>8.7575063705444336</v>
      </c>
      <c r="S13">
        <v>1</v>
      </c>
      <c r="T13">
        <v>0.60000002384185791</v>
      </c>
      <c r="U13">
        <v>1</v>
      </c>
      <c r="V13">
        <v>1</v>
      </c>
      <c r="W13" t="s">
        <v>31</v>
      </c>
      <c r="X13" t="s">
        <v>27</v>
      </c>
      <c r="Y13" t="s">
        <v>31</v>
      </c>
      <c r="Z13" t="s">
        <v>31</v>
      </c>
    </row>
    <row r="14" spans="1:26" x14ac:dyDescent="0.25">
      <c r="A14" t="s">
        <v>45</v>
      </c>
      <c r="B14" t="s">
        <v>244</v>
      </c>
      <c r="C14">
        <v>74149131170.404984</v>
      </c>
      <c r="D14" t="s">
        <v>224</v>
      </c>
      <c r="F14">
        <v>21.2</v>
      </c>
      <c r="G14">
        <v>54.7</v>
      </c>
      <c r="I14">
        <v>2.559999942779541</v>
      </c>
      <c r="J14">
        <v>5.5994868278503418</v>
      </c>
      <c r="K14">
        <v>1</v>
      </c>
      <c r="L14" t="s">
        <v>31</v>
      </c>
      <c r="N14">
        <v>5.0179495811462402</v>
      </c>
      <c r="O14">
        <v>4.0192470550537109</v>
      </c>
      <c r="P14">
        <v>5.9608311653137207</v>
      </c>
      <c r="Q14">
        <v>9.6555261611938477</v>
      </c>
      <c r="S14">
        <v>1</v>
      </c>
      <c r="T14">
        <v>1</v>
      </c>
      <c r="U14">
        <v>1</v>
      </c>
      <c r="V14">
        <v>1</v>
      </c>
      <c r="W14" t="s">
        <v>31</v>
      </c>
      <c r="X14" t="s">
        <v>31</v>
      </c>
      <c r="Y14" t="s">
        <v>31</v>
      </c>
      <c r="Z14" t="s">
        <v>31</v>
      </c>
    </row>
    <row r="15" spans="1:26" x14ac:dyDescent="0.25">
      <c r="A15" t="s">
        <v>46</v>
      </c>
      <c r="B15" t="s">
        <v>245</v>
      </c>
      <c r="C15">
        <v>68582522120.049179</v>
      </c>
      <c r="D15" t="s">
        <v>235</v>
      </c>
      <c r="F15">
        <v>86.8</v>
      </c>
      <c r="G15">
        <v>70</v>
      </c>
      <c r="I15">
        <v>5.0100002288818359</v>
      </c>
      <c r="J15">
        <v>6.3852543830871582</v>
      </c>
      <c r="K15">
        <v>1</v>
      </c>
      <c r="L15" t="s">
        <v>31</v>
      </c>
      <c r="N15">
        <v>5.5005693435668945</v>
      </c>
      <c r="O15">
        <v>7.285313606262207</v>
      </c>
      <c r="P15">
        <v>6.9204082489013672</v>
      </c>
      <c r="Q15">
        <v>6.1912384033203125</v>
      </c>
      <c r="S15">
        <v>1</v>
      </c>
      <c r="T15">
        <v>1</v>
      </c>
      <c r="U15">
        <v>1</v>
      </c>
      <c r="V15">
        <v>1</v>
      </c>
      <c r="W15" t="s">
        <v>31</v>
      </c>
      <c r="X15" t="s">
        <v>31</v>
      </c>
      <c r="Y15" t="s">
        <v>31</v>
      </c>
      <c r="Z15" t="s">
        <v>31</v>
      </c>
    </row>
    <row r="16" spans="1:26" x14ac:dyDescent="0.25">
      <c r="A16" t="s">
        <v>47</v>
      </c>
      <c r="B16" t="s">
        <v>246</v>
      </c>
      <c r="C16">
        <v>65492340580.822258</v>
      </c>
      <c r="D16" t="s">
        <v>235</v>
      </c>
      <c r="F16">
        <v>74.400000000000006</v>
      </c>
      <c r="G16">
        <v>72.900000000000006</v>
      </c>
      <c r="I16">
        <v>4.570000171661377</v>
      </c>
      <c r="J16">
        <v>6.4550776481628418</v>
      </c>
      <c r="K16">
        <v>1</v>
      </c>
      <c r="L16" t="s">
        <v>31</v>
      </c>
      <c r="N16">
        <v>6.8359909057617188</v>
      </c>
      <c r="O16">
        <v>3.2410380840301514</v>
      </c>
      <c r="P16">
        <v>8.6624898910522461</v>
      </c>
      <c r="Q16">
        <v>8.3268117904663086</v>
      </c>
      <c r="S16">
        <v>1</v>
      </c>
      <c r="T16">
        <v>1</v>
      </c>
      <c r="U16">
        <v>1</v>
      </c>
      <c r="V16">
        <v>1</v>
      </c>
      <c r="W16" t="s">
        <v>31</v>
      </c>
      <c r="X16" t="s">
        <v>31</v>
      </c>
      <c r="Y16" t="s">
        <v>31</v>
      </c>
      <c r="Z16" t="s">
        <v>31</v>
      </c>
    </row>
    <row r="17" spans="1:26" x14ac:dyDescent="0.25">
      <c r="A17" t="s">
        <v>48</v>
      </c>
      <c r="B17" t="s">
        <v>247</v>
      </c>
      <c r="C17">
        <v>63042507994.707092</v>
      </c>
      <c r="D17" t="s">
        <v>248</v>
      </c>
      <c r="F17">
        <v>94.7</v>
      </c>
      <c r="G17">
        <v>86.5</v>
      </c>
      <c r="I17">
        <v>5.7199997901916504</v>
      </c>
      <c r="J17">
        <v>7.1461887359619141</v>
      </c>
      <c r="K17">
        <v>1</v>
      </c>
      <c r="L17" t="s">
        <v>31</v>
      </c>
      <c r="N17">
        <v>8.271296501159668</v>
      </c>
      <c r="O17">
        <v>6.1200733184814453</v>
      </c>
      <c r="P17">
        <v>5.5429267883300781</v>
      </c>
      <c r="Q17">
        <v>9.2878971099853516</v>
      </c>
      <c r="S17">
        <v>1</v>
      </c>
      <c r="T17">
        <v>1</v>
      </c>
      <c r="U17">
        <v>1</v>
      </c>
      <c r="V17">
        <v>1</v>
      </c>
      <c r="W17" t="s">
        <v>31</v>
      </c>
      <c r="X17" t="s">
        <v>31</v>
      </c>
      <c r="Y17" t="s">
        <v>31</v>
      </c>
      <c r="Z17" t="s">
        <v>31</v>
      </c>
    </row>
    <row r="18" spans="1:26" x14ac:dyDescent="0.25">
      <c r="A18" t="s">
        <v>49</v>
      </c>
      <c r="B18" t="s">
        <v>249</v>
      </c>
      <c r="C18">
        <v>56812427016.197304</v>
      </c>
      <c r="D18" t="s">
        <v>219</v>
      </c>
      <c r="F18">
        <v>69.400000000000006</v>
      </c>
      <c r="G18">
        <v>61.2</v>
      </c>
      <c r="I18">
        <v>4.3400001525878906</v>
      </c>
      <c r="J18">
        <v>5.8396930694580078</v>
      </c>
      <c r="K18">
        <v>0.93377482891082764</v>
      </c>
      <c r="L18" t="s">
        <v>225</v>
      </c>
      <c r="N18">
        <v>6.136573314666748</v>
      </c>
      <c r="O18">
        <v>9.3323345184326172</v>
      </c>
      <c r="P18">
        <v>2.7998669147491455</v>
      </c>
      <c r="Q18">
        <v>5.7366862297058105</v>
      </c>
      <c r="S18">
        <v>1</v>
      </c>
      <c r="T18">
        <v>1</v>
      </c>
      <c r="U18">
        <v>0.76190477609634399</v>
      </c>
      <c r="V18">
        <v>0.89361703395843506</v>
      </c>
      <c r="W18" t="s">
        <v>31</v>
      </c>
      <c r="X18" t="s">
        <v>31</v>
      </c>
      <c r="Y18" t="s">
        <v>222</v>
      </c>
      <c r="Z18" t="s">
        <v>226</v>
      </c>
    </row>
    <row r="19" spans="1:26" x14ac:dyDescent="0.25">
      <c r="A19" t="s">
        <v>50</v>
      </c>
      <c r="B19" t="s">
        <v>250</v>
      </c>
      <c r="C19">
        <v>55782787906.27919</v>
      </c>
      <c r="D19" t="s">
        <v>251</v>
      </c>
      <c r="F19">
        <v>90.6</v>
      </c>
      <c r="G19">
        <v>69.400000000000006</v>
      </c>
      <c r="I19">
        <v>5.4499998092651367</v>
      </c>
      <c r="J19">
        <v>6.375732421875</v>
      </c>
      <c r="K19">
        <v>1</v>
      </c>
      <c r="L19" t="s">
        <v>31</v>
      </c>
      <c r="N19">
        <v>7.2057070732116699</v>
      </c>
      <c r="O19">
        <v>7.1105995178222656</v>
      </c>
      <c r="P19">
        <v>3.5604009628295898</v>
      </c>
      <c r="Q19">
        <v>8.675938606262207</v>
      </c>
      <c r="S19">
        <v>1</v>
      </c>
      <c r="T19">
        <v>1</v>
      </c>
      <c r="U19">
        <v>1</v>
      </c>
      <c r="V19">
        <v>1</v>
      </c>
      <c r="W19" t="s">
        <v>31</v>
      </c>
      <c r="X19" t="s">
        <v>31</v>
      </c>
      <c r="Y19" t="s">
        <v>31</v>
      </c>
      <c r="Z19" t="s">
        <v>31</v>
      </c>
    </row>
    <row r="20" spans="1:26" x14ac:dyDescent="0.25">
      <c r="A20" t="s">
        <v>53</v>
      </c>
      <c r="B20" t="s">
        <v>252</v>
      </c>
      <c r="C20">
        <v>46643449415.780388</v>
      </c>
      <c r="D20" t="s">
        <v>253</v>
      </c>
      <c r="F20">
        <v>39.1</v>
      </c>
      <c r="G20">
        <v>31.2</v>
      </c>
      <c r="I20">
        <v>3.2100000381469727</v>
      </c>
      <c r="J20">
        <v>4.7549309730529785</v>
      </c>
      <c r="K20">
        <v>0.9665071964263916</v>
      </c>
      <c r="L20" t="s">
        <v>254</v>
      </c>
      <c r="N20">
        <v>3.0680530071258545</v>
      </c>
      <c r="O20">
        <v>6.0378084182739258</v>
      </c>
      <c r="P20">
        <v>4.1800227165222168</v>
      </c>
      <c r="Q20">
        <v>8.4074325561523438</v>
      </c>
      <c r="S20">
        <v>0.91379308700561523</v>
      </c>
      <c r="T20">
        <v>1</v>
      </c>
      <c r="U20">
        <v>0.8571428656578064</v>
      </c>
      <c r="V20">
        <v>1</v>
      </c>
      <c r="W20" t="s">
        <v>227</v>
      </c>
      <c r="X20" t="s">
        <v>31</v>
      </c>
      <c r="Y20" t="s">
        <v>255</v>
      </c>
      <c r="Z20" t="s">
        <v>31</v>
      </c>
    </row>
    <row r="21" spans="1:26" x14ac:dyDescent="0.25">
      <c r="A21" t="s">
        <v>54</v>
      </c>
      <c r="B21" t="s">
        <v>256</v>
      </c>
      <c r="C21">
        <v>44307304427.993782</v>
      </c>
      <c r="D21" t="s">
        <v>257</v>
      </c>
      <c r="F21">
        <v>91.2</v>
      </c>
      <c r="G21">
        <v>97.6</v>
      </c>
      <c r="I21">
        <v>5.4899997711181641</v>
      </c>
      <c r="J21">
        <v>8.0205726623535156</v>
      </c>
      <c r="K21">
        <v>0.97641509771347046</v>
      </c>
      <c r="L21" t="s">
        <v>258</v>
      </c>
      <c r="N21">
        <v>8.6406478881835938</v>
      </c>
      <c r="O21">
        <v>6.7262048721313477</v>
      </c>
      <c r="P21">
        <v>8.0991458892822266</v>
      </c>
      <c r="Q21">
        <v>8.7093238830566406</v>
      </c>
      <c r="S21">
        <v>1</v>
      </c>
      <c r="T21">
        <v>0.94382023811340332</v>
      </c>
      <c r="U21">
        <v>1</v>
      </c>
      <c r="V21">
        <v>1</v>
      </c>
      <c r="W21" t="s">
        <v>31</v>
      </c>
      <c r="X21" t="s">
        <v>51</v>
      </c>
      <c r="Y21" t="s">
        <v>31</v>
      </c>
      <c r="Z21" t="s">
        <v>31</v>
      </c>
    </row>
    <row r="22" spans="1:26" x14ac:dyDescent="0.25">
      <c r="A22" t="s">
        <v>55</v>
      </c>
      <c r="B22" t="s">
        <v>259</v>
      </c>
      <c r="C22">
        <v>43051858698.449982</v>
      </c>
      <c r="D22" t="s">
        <v>260</v>
      </c>
      <c r="F22">
        <v>70.900000000000006</v>
      </c>
      <c r="G22">
        <v>100</v>
      </c>
      <c r="I22">
        <v>4.3600001335144043</v>
      </c>
      <c r="J22">
        <v>8.4974632263183594</v>
      </c>
      <c r="K22">
        <v>1</v>
      </c>
      <c r="L22" t="s">
        <v>31</v>
      </c>
      <c r="N22">
        <v>9.6221246719360352</v>
      </c>
      <c r="O22">
        <v>8.7336626052856445</v>
      </c>
      <c r="P22">
        <v>6.0346593856811523</v>
      </c>
      <c r="Q22">
        <v>10</v>
      </c>
      <c r="S22">
        <v>1</v>
      </c>
      <c r="T22">
        <v>1</v>
      </c>
      <c r="U22">
        <v>1</v>
      </c>
      <c r="V22">
        <v>1</v>
      </c>
      <c r="W22" t="s">
        <v>31</v>
      </c>
      <c r="X22" t="s">
        <v>31</v>
      </c>
      <c r="Y22" t="s">
        <v>31</v>
      </c>
      <c r="Z22" t="s">
        <v>31</v>
      </c>
    </row>
    <row r="23" spans="1:26" x14ac:dyDescent="0.25">
      <c r="A23" t="s">
        <v>57</v>
      </c>
      <c r="B23" t="s">
        <v>261</v>
      </c>
      <c r="C23">
        <v>36474436990.741898</v>
      </c>
      <c r="D23" t="s">
        <v>262</v>
      </c>
      <c r="F23">
        <v>84.7</v>
      </c>
      <c r="G23">
        <v>98.2</v>
      </c>
      <c r="I23">
        <v>4.9699997901916504</v>
      </c>
      <c r="J23">
        <v>8.168583869934082</v>
      </c>
      <c r="K23">
        <v>1</v>
      </c>
      <c r="L23" t="s">
        <v>31</v>
      </c>
      <c r="N23">
        <v>7.4624447822570801</v>
      </c>
      <c r="O23">
        <v>8.6074981689453125</v>
      </c>
      <c r="P23">
        <v>8.0415172576904297</v>
      </c>
      <c r="Q23">
        <v>9.3675336837768555</v>
      </c>
      <c r="S23">
        <v>1</v>
      </c>
      <c r="T23">
        <v>1</v>
      </c>
      <c r="U23">
        <v>1</v>
      </c>
      <c r="V23">
        <v>1</v>
      </c>
      <c r="W23" t="s">
        <v>31</v>
      </c>
      <c r="X23" t="s">
        <v>31</v>
      </c>
      <c r="Y23" t="s">
        <v>31</v>
      </c>
      <c r="Z23" t="s">
        <v>31</v>
      </c>
    </row>
    <row r="24" spans="1:26" x14ac:dyDescent="0.25">
      <c r="A24" t="s">
        <v>58</v>
      </c>
      <c r="B24" t="s">
        <v>263</v>
      </c>
      <c r="C24">
        <v>34496922671.399994</v>
      </c>
      <c r="D24" t="s">
        <v>229</v>
      </c>
      <c r="F24">
        <v>55.9</v>
      </c>
      <c r="G24">
        <v>90.6</v>
      </c>
      <c r="I24">
        <v>3.8900001049041748</v>
      </c>
      <c r="J24">
        <v>7.4249739646911621</v>
      </c>
      <c r="K24">
        <v>0.99180328845977783</v>
      </c>
      <c r="L24" t="s">
        <v>240</v>
      </c>
      <c r="N24">
        <v>7.5333375930786133</v>
      </c>
      <c r="O24">
        <v>7.7826213836669922</v>
      </c>
      <c r="P24">
        <v>6.2909526824951172</v>
      </c>
      <c r="Q24">
        <v>8.5648117065429688</v>
      </c>
      <c r="S24">
        <v>1</v>
      </c>
      <c r="T24">
        <v>1</v>
      </c>
      <c r="U24">
        <v>0.93103450536727905</v>
      </c>
      <c r="V24">
        <v>1</v>
      </c>
      <c r="W24" t="s">
        <v>31</v>
      </c>
      <c r="X24" t="s">
        <v>31</v>
      </c>
      <c r="Y24" t="s">
        <v>225</v>
      </c>
      <c r="Z24" t="s">
        <v>31</v>
      </c>
    </row>
    <row r="25" spans="1:26" x14ac:dyDescent="0.25">
      <c r="A25" t="s">
        <v>59</v>
      </c>
      <c r="B25" t="s">
        <v>264</v>
      </c>
      <c r="C25">
        <v>33466775894.013393</v>
      </c>
      <c r="D25" t="s">
        <v>265</v>
      </c>
      <c r="F25">
        <v>67.400000000000006</v>
      </c>
      <c r="G25">
        <v>22.9</v>
      </c>
      <c r="I25">
        <v>4.2699999809265137</v>
      </c>
      <c r="J25">
        <v>4.4956274032592773</v>
      </c>
      <c r="K25">
        <v>0.90909093618392944</v>
      </c>
      <c r="L25" t="s">
        <v>227</v>
      </c>
      <c r="N25">
        <v>4.8348240852355957</v>
      </c>
      <c r="O25">
        <v>1.4295822381973267</v>
      </c>
      <c r="P25">
        <v>5.778266429901123</v>
      </c>
      <c r="Q25">
        <v>8.2848730087280273</v>
      </c>
      <c r="S25">
        <v>1</v>
      </c>
      <c r="T25">
        <v>0.57142859697341919</v>
      </c>
      <c r="U25">
        <v>1</v>
      </c>
      <c r="V25">
        <v>1</v>
      </c>
      <c r="W25" t="s">
        <v>31</v>
      </c>
      <c r="X25" t="s">
        <v>266</v>
      </c>
      <c r="Y25" t="s">
        <v>31</v>
      </c>
      <c r="Z25" t="s">
        <v>31</v>
      </c>
    </row>
    <row r="26" spans="1:26" x14ac:dyDescent="0.25">
      <c r="A26" t="s">
        <v>60</v>
      </c>
      <c r="B26" t="s">
        <v>267</v>
      </c>
      <c r="C26">
        <v>32815743286.644356</v>
      </c>
      <c r="D26" t="s">
        <v>268</v>
      </c>
      <c r="F26">
        <v>92.4</v>
      </c>
      <c r="G26">
        <v>58.8</v>
      </c>
      <c r="I26">
        <v>5.559999942779541</v>
      </c>
      <c r="J26">
        <v>5.7001852989196777</v>
      </c>
      <c r="K26">
        <v>0.97652584314346313</v>
      </c>
      <c r="L26" t="s">
        <v>258</v>
      </c>
      <c r="N26">
        <v>4.5622410774230957</v>
      </c>
      <c r="O26">
        <v>4.278383731842041</v>
      </c>
      <c r="P26">
        <v>7.3777651786804199</v>
      </c>
      <c r="Q26">
        <v>8.5864400863647461</v>
      </c>
      <c r="S26">
        <v>0.91935485601425171</v>
      </c>
      <c r="T26">
        <v>1</v>
      </c>
      <c r="U26">
        <v>1</v>
      </c>
      <c r="V26">
        <v>1</v>
      </c>
      <c r="W26" t="s">
        <v>221</v>
      </c>
      <c r="X26" t="s">
        <v>31</v>
      </c>
      <c r="Y26" t="s">
        <v>31</v>
      </c>
      <c r="Z26" t="s">
        <v>31</v>
      </c>
    </row>
    <row r="27" spans="1:26" x14ac:dyDescent="0.25">
      <c r="A27" t="s">
        <v>61</v>
      </c>
      <c r="B27" t="s">
        <v>269</v>
      </c>
      <c r="C27">
        <v>28841060444.400597</v>
      </c>
      <c r="D27" t="s">
        <v>262</v>
      </c>
      <c r="F27">
        <v>97.6</v>
      </c>
      <c r="G27">
        <v>99.4</v>
      </c>
      <c r="I27">
        <v>6.1100001335144043</v>
      </c>
      <c r="J27">
        <v>8.4452619552612305</v>
      </c>
      <c r="K27">
        <v>1</v>
      </c>
      <c r="L27" t="s">
        <v>31</v>
      </c>
      <c r="N27">
        <v>8.0828962326049805</v>
      </c>
      <c r="O27">
        <v>8.2474451065063477</v>
      </c>
      <c r="P27">
        <v>8.5996284484863281</v>
      </c>
      <c r="Q27">
        <v>9.389012336730957</v>
      </c>
      <c r="S27">
        <v>1</v>
      </c>
      <c r="T27">
        <v>1</v>
      </c>
      <c r="U27">
        <v>1</v>
      </c>
      <c r="V27">
        <v>1</v>
      </c>
      <c r="W27" t="s">
        <v>31</v>
      </c>
      <c r="X27" t="s">
        <v>31</v>
      </c>
      <c r="Y27" t="s">
        <v>31</v>
      </c>
      <c r="Z27" t="s">
        <v>31</v>
      </c>
    </row>
    <row r="28" spans="1:26" x14ac:dyDescent="0.25">
      <c r="A28" t="s">
        <v>62</v>
      </c>
      <c r="B28" t="s">
        <v>270</v>
      </c>
      <c r="C28">
        <v>28283488132.430862</v>
      </c>
      <c r="D28" t="s">
        <v>224</v>
      </c>
      <c r="F28">
        <v>28.2</v>
      </c>
      <c r="G28">
        <v>50</v>
      </c>
      <c r="I28">
        <v>2.880000114440918</v>
      </c>
      <c r="J28">
        <v>5.3997349739074707</v>
      </c>
      <c r="K28">
        <v>1</v>
      </c>
      <c r="L28" t="s">
        <v>31</v>
      </c>
      <c r="N28">
        <v>4.415712833404541</v>
      </c>
      <c r="O28">
        <v>4.0572237968444824</v>
      </c>
      <c r="P28">
        <v>5.9136567115783691</v>
      </c>
      <c r="Q28">
        <v>9.8744783401489258</v>
      </c>
      <c r="S28">
        <v>1</v>
      </c>
      <c r="T28">
        <v>1</v>
      </c>
      <c r="U28">
        <v>1</v>
      </c>
      <c r="V28">
        <v>1</v>
      </c>
      <c r="W28" t="s">
        <v>31</v>
      </c>
      <c r="X28" t="s">
        <v>31</v>
      </c>
      <c r="Y28" t="s">
        <v>31</v>
      </c>
      <c r="Z28" t="s">
        <v>31</v>
      </c>
    </row>
    <row r="29" spans="1:26" x14ac:dyDescent="0.25">
      <c r="A29" t="s">
        <v>63</v>
      </c>
      <c r="B29" t="s">
        <v>271</v>
      </c>
      <c r="C29">
        <v>27367785983.348412</v>
      </c>
      <c r="D29" t="s">
        <v>272</v>
      </c>
      <c r="F29">
        <v>100</v>
      </c>
      <c r="G29">
        <v>91.8</v>
      </c>
      <c r="I29">
        <v>7.2300000190734863</v>
      </c>
      <c r="J29">
        <v>7.5946688652038574</v>
      </c>
      <c r="K29">
        <v>1</v>
      </c>
      <c r="L29" t="s">
        <v>31</v>
      </c>
      <c r="N29">
        <v>6.549687385559082</v>
      </c>
      <c r="O29">
        <v>7.8776631355285645</v>
      </c>
      <c r="P29">
        <v>7.5075407028198242</v>
      </c>
      <c r="Q29">
        <v>9.910832405090332</v>
      </c>
      <c r="S29">
        <v>1</v>
      </c>
      <c r="T29">
        <v>1</v>
      </c>
      <c r="U29">
        <v>1</v>
      </c>
      <c r="V29">
        <v>1</v>
      </c>
      <c r="W29" t="s">
        <v>31</v>
      </c>
      <c r="X29" t="s">
        <v>31</v>
      </c>
      <c r="Y29" t="s">
        <v>31</v>
      </c>
      <c r="Z29" t="s">
        <v>31</v>
      </c>
    </row>
    <row r="30" spans="1:26" x14ac:dyDescent="0.25">
      <c r="A30" t="s">
        <v>64</v>
      </c>
      <c r="B30" t="s">
        <v>273</v>
      </c>
      <c r="C30">
        <v>25464297117.260891</v>
      </c>
      <c r="D30" t="s">
        <v>274</v>
      </c>
      <c r="F30">
        <v>98.2</v>
      </c>
      <c r="G30">
        <v>82.9</v>
      </c>
      <c r="I30">
        <v>6.119999885559082</v>
      </c>
      <c r="J30">
        <v>7.0233588218688965</v>
      </c>
      <c r="K30">
        <v>1</v>
      </c>
      <c r="L30" t="s">
        <v>31</v>
      </c>
      <c r="N30">
        <v>7.7202334403991699</v>
      </c>
      <c r="O30">
        <v>6.6745781898498535</v>
      </c>
      <c r="P30">
        <v>5.1688923835754395</v>
      </c>
      <c r="Q30">
        <v>9.4427623748779297</v>
      </c>
      <c r="S30">
        <v>1</v>
      </c>
      <c r="T30">
        <v>1</v>
      </c>
      <c r="U30">
        <v>1</v>
      </c>
      <c r="V30">
        <v>1</v>
      </c>
      <c r="W30" t="s">
        <v>31</v>
      </c>
      <c r="X30" t="s">
        <v>31</v>
      </c>
      <c r="Y30" t="s">
        <v>31</v>
      </c>
      <c r="Z30" t="s">
        <v>31</v>
      </c>
    </row>
    <row r="31" spans="1:26" x14ac:dyDescent="0.25">
      <c r="A31" t="s">
        <v>65</v>
      </c>
      <c r="B31" t="s">
        <v>275</v>
      </c>
      <c r="C31">
        <v>24288963066.588158</v>
      </c>
      <c r="D31" t="s">
        <v>276</v>
      </c>
      <c r="F31">
        <v>68.8</v>
      </c>
      <c r="G31">
        <v>65.3</v>
      </c>
      <c r="I31">
        <v>4.3299999237060547</v>
      </c>
      <c r="J31">
        <v>6.094210147857666</v>
      </c>
      <c r="K31">
        <v>0.97777777910232544</v>
      </c>
      <c r="L31" t="s">
        <v>258</v>
      </c>
      <c r="N31">
        <v>7.0729556083679199</v>
      </c>
      <c r="O31">
        <v>7.5868186950683594</v>
      </c>
      <c r="P31">
        <v>3.5890078544616699</v>
      </c>
      <c r="Q31">
        <v>6.1370711326599121</v>
      </c>
      <c r="S31">
        <v>1</v>
      </c>
      <c r="T31">
        <v>1</v>
      </c>
      <c r="U31">
        <v>1</v>
      </c>
      <c r="V31">
        <v>0.90740740299224854</v>
      </c>
      <c r="W31" t="s">
        <v>31</v>
      </c>
      <c r="X31" t="s">
        <v>31</v>
      </c>
      <c r="Y31" t="s">
        <v>31</v>
      </c>
      <c r="Z31" t="s">
        <v>227</v>
      </c>
    </row>
    <row r="32" spans="1:26" x14ac:dyDescent="0.25">
      <c r="A32" t="s">
        <v>67</v>
      </c>
      <c r="B32" t="s">
        <v>277</v>
      </c>
      <c r="C32">
        <v>22598319953.219612</v>
      </c>
      <c r="D32" t="s">
        <v>278</v>
      </c>
      <c r="F32">
        <v>61.2</v>
      </c>
      <c r="G32">
        <v>84.1</v>
      </c>
      <c r="I32">
        <v>4.0100002288818359</v>
      </c>
      <c r="J32">
        <v>7.0903582572937012</v>
      </c>
      <c r="K32">
        <v>0.97881358861923218</v>
      </c>
      <c r="L32" t="s">
        <v>258</v>
      </c>
      <c r="N32">
        <v>7.0611166954040527</v>
      </c>
      <c r="O32">
        <v>7.3012962341308594</v>
      </c>
      <c r="P32">
        <v>6.9751768112182617</v>
      </c>
      <c r="Q32">
        <v>7.0033764839172363</v>
      </c>
      <c r="S32">
        <v>1</v>
      </c>
      <c r="T32">
        <v>1</v>
      </c>
      <c r="U32">
        <v>1</v>
      </c>
      <c r="V32">
        <v>0.90740740299224854</v>
      </c>
      <c r="W32" t="s">
        <v>31</v>
      </c>
      <c r="X32" t="s">
        <v>31</v>
      </c>
      <c r="Y32" t="s">
        <v>31</v>
      </c>
      <c r="Z32" t="s">
        <v>227</v>
      </c>
    </row>
    <row r="33" spans="1:26" x14ac:dyDescent="0.25">
      <c r="A33" t="s">
        <v>68</v>
      </c>
      <c r="B33" t="s">
        <v>279</v>
      </c>
      <c r="C33">
        <v>21728888291.791134</v>
      </c>
      <c r="D33" t="s">
        <v>280</v>
      </c>
      <c r="F33">
        <v>88.2</v>
      </c>
      <c r="G33">
        <v>91.2</v>
      </c>
      <c r="I33">
        <v>5.1599998474121094</v>
      </c>
      <c r="J33">
        <v>7.5508213043212891</v>
      </c>
      <c r="K33">
        <v>1</v>
      </c>
      <c r="L33" t="s">
        <v>31</v>
      </c>
      <c r="N33">
        <v>5.4627447128295898</v>
      </c>
      <c r="O33">
        <v>9.1225128173828125</v>
      </c>
      <c r="P33">
        <v>8.2820158004760742</v>
      </c>
      <c r="Q33">
        <v>9.1249551773071289</v>
      </c>
      <c r="S33">
        <v>1</v>
      </c>
      <c r="T33">
        <v>1</v>
      </c>
      <c r="U33">
        <v>1</v>
      </c>
      <c r="V33">
        <v>1</v>
      </c>
      <c r="W33" t="s">
        <v>31</v>
      </c>
      <c r="X33" t="s">
        <v>31</v>
      </c>
      <c r="Y33" t="s">
        <v>31</v>
      </c>
      <c r="Z33" t="s">
        <v>31</v>
      </c>
    </row>
    <row r="34" spans="1:26" x14ac:dyDescent="0.25">
      <c r="A34" t="s">
        <v>69</v>
      </c>
      <c r="B34" t="s">
        <v>281</v>
      </c>
      <c r="C34">
        <v>21576670890.01524</v>
      </c>
      <c r="D34" t="s">
        <v>282</v>
      </c>
      <c r="F34">
        <v>80.599999999999994</v>
      </c>
      <c r="G34">
        <v>77.599999999999994</v>
      </c>
      <c r="I34">
        <v>4.8000001907348633</v>
      </c>
      <c r="J34">
        <v>6.6074914932250977</v>
      </c>
      <c r="K34">
        <v>1</v>
      </c>
      <c r="L34" t="s">
        <v>31</v>
      </c>
      <c r="N34">
        <v>7.409980297088623</v>
      </c>
      <c r="O34">
        <v>7.7964940071105957</v>
      </c>
      <c r="P34">
        <v>3.9785640239715576</v>
      </c>
      <c r="Q34">
        <v>7.7387933731079102</v>
      </c>
      <c r="S34">
        <v>1</v>
      </c>
      <c r="T34">
        <v>1</v>
      </c>
      <c r="U34">
        <v>1</v>
      </c>
      <c r="V34">
        <v>1</v>
      </c>
      <c r="W34" t="s">
        <v>31</v>
      </c>
      <c r="X34" t="s">
        <v>31</v>
      </c>
      <c r="Y34" t="s">
        <v>31</v>
      </c>
      <c r="Z34" t="s">
        <v>31</v>
      </c>
    </row>
    <row r="35" spans="1:26" x14ac:dyDescent="0.25">
      <c r="A35" t="s">
        <v>70</v>
      </c>
      <c r="B35" t="s">
        <v>283</v>
      </c>
      <c r="C35">
        <v>20818243334.012856</v>
      </c>
      <c r="D35" t="s">
        <v>224</v>
      </c>
      <c r="F35">
        <v>20.6</v>
      </c>
      <c r="G35">
        <v>37.6</v>
      </c>
      <c r="I35">
        <v>2.5499999523162842</v>
      </c>
      <c r="J35">
        <v>5.05908203125</v>
      </c>
      <c r="K35">
        <v>0.80402010679244995</v>
      </c>
      <c r="L35" t="s">
        <v>44</v>
      </c>
      <c r="N35">
        <v>4.7297701835632324</v>
      </c>
      <c r="O35">
        <v>2.8448400497436523</v>
      </c>
      <c r="P35">
        <v>7.086885929107666</v>
      </c>
      <c r="Q35">
        <v>6.9176154136657715</v>
      </c>
      <c r="S35">
        <v>1</v>
      </c>
      <c r="T35">
        <v>0.57971012592315674</v>
      </c>
      <c r="U35">
        <v>1</v>
      </c>
      <c r="V35">
        <v>0.81481480598449707</v>
      </c>
      <c r="W35" t="s">
        <v>31</v>
      </c>
      <c r="X35" t="s">
        <v>284</v>
      </c>
      <c r="Y35" t="s">
        <v>31</v>
      </c>
      <c r="Z35" t="s">
        <v>285</v>
      </c>
    </row>
    <row r="36" spans="1:26" x14ac:dyDescent="0.25">
      <c r="A36" t="s">
        <v>71</v>
      </c>
      <c r="B36" t="s">
        <v>286</v>
      </c>
      <c r="C36">
        <v>20487901806.195004</v>
      </c>
      <c r="D36" t="s">
        <v>287</v>
      </c>
      <c r="F36">
        <v>75.599999999999994</v>
      </c>
      <c r="G36">
        <v>82.4</v>
      </c>
      <c r="I36">
        <v>4.5799999237060547</v>
      </c>
      <c r="J36">
        <v>7.0170297622680664</v>
      </c>
      <c r="K36">
        <v>0.95555555820465088</v>
      </c>
      <c r="L36" t="s">
        <v>288</v>
      </c>
      <c r="N36">
        <v>7.5631051063537598</v>
      </c>
      <c r="O36">
        <v>5.3217911720275879</v>
      </c>
      <c r="P36">
        <v>7.7760415077209473</v>
      </c>
      <c r="Q36">
        <v>7.5192728042602539</v>
      </c>
      <c r="S36">
        <v>1</v>
      </c>
      <c r="T36">
        <v>0.94949495792388916</v>
      </c>
      <c r="U36">
        <v>1</v>
      </c>
      <c r="V36">
        <v>0.90740740299224854</v>
      </c>
      <c r="W36" t="s">
        <v>31</v>
      </c>
      <c r="X36" t="s">
        <v>289</v>
      </c>
      <c r="Y36" t="s">
        <v>31</v>
      </c>
      <c r="Z36" t="s">
        <v>227</v>
      </c>
    </row>
    <row r="37" spans="1:26" x14ac:dyDescent="0.25">
      <c r="A37" t="s">
        <v>72</v>
      </c>
      <c r="B37" t="s">
        <v>290</v>
      </c>
      <c r="C37">
        <v>18811332017.639854</v>
      </c>
      <c r="D37" t="s">
        <v>291</v>
      </c>
      <c r="F37">
        <v>77.900000000000006</v>
      </c>
      <c r="G37">
        <v>84.7</v>
      </c>
      <c r="I37">
        <v>4.7100000381469727</v>
      </c>
      <c r="J37">
        <v>7.0915346145629883</v>
      </c>
      <c r="K37">
        <v>0.93644070625305176</v>
      </c>
      <c r="L37" t="s">
        <v>51</v>
      </c>
      <c r="N37">
        <v>5.2967386245727539</v>
      </c>
      <c r="O37">
        <v>8.086639404296875</v>
      </c>
      <c r="P37">
        <v>8.101348876953125</v>
      </c>
      <c r="Q37">
        <v>8.3414649963378906</v>
      </c>
      <c r="S37">
        <v>0.75806450843811035</v>
      </c>
      <c r="T37">
        <v>1</v>
      </c>
      <c r="U37">
        <v>1</v>
      </c>
      <c r="V37">
        <v>1</v>
      </c>
      <c r="W37" t="s">
        <v>222</v>
      </c>
      <c r="X37" t="s">
        <v>31</v>
      </c>
      <c r="Y37" t="s">
        <v>31</v>
      </c>
      <c r="Z37" t="s">
        <v>31</v>
      </c>
    </row>
    <row r="38" spans="1:26" x14ac:dyDescent="0.25">
      <c r="A38" t="s">
        <v>73</v>
      </c>
      <c r="B38" t="s">
        <v>292</v>
      </c>
      <c r="C38">
        <v>18482906606.76358</v>
      </c>
      <c r="D38" t="s">
        <v>280</v>
      </c>
      <c r="F38">
        <v>88.8</v>
      </c>
      <c r="G38">
        <v>92.4</v>
      </c>
      <c r="I38">
        <v>5.3299999237060547</v>
      </c>
      <c r="J38">
        <v>7.6243753433227539</v>
      </c>
      <c r="K38">
        <v>1</v>
      </c>
      <c r="L38" t="s">
        <v>31</v>
      </c>
      <c r="N38">
        <v>8.738703727722168</v>
      </c>
      <c r="O38">
        <v>7.0587081909179688</v>
      </c>
      <c r="P38">
        <v>6.7499828338623047</v>
      </c>
      <c r="Q38">
        <v>7.5523533821105957</v>
      </c>
      <c r="S38">
        <v>1</v>
      </c>
      <c r="T38">
        <v>1</v>
      </c>
      <c r="U38">
        <v>1</v>
      </c>
      <c r="V38">
        <v>1</v>
      </c>
      <c r="W38" t="s">
        <v>31</v>
      </c>
      <c r="X38" t="s">
        <v>31</v>
      </c>
      <c r="Y38" t="s">
        <v>31</v>
      </c>
      <c r="Z38" t="s">
        <v>31</v>
      </c>
    </row>
    <row r="39" spans="1:26" x14ac:dyDescent="0.25">
      <c r="A39" t="s">
        <v>74</v>
      </c>
      <c r="B39" t="s">
        <v>293</v>
      </c>
      <c r="C39">
        <v>18476786411.67289</v>
      </c>
      <c r="D39" t="s">
        <v>278</v>
      </c>
      <c r="F39">
        <v>91.8</v>
      </c>
      <c r="G39">
        <v>92.9</v>
      </c>
      <c r="I39">
        <v>5.5</v>
      </c>
      <c r="J39">
        <v>7.7155413627624512</v>
      </c>
      <c r="K39">
        <v>1</v>
      </c>
      <c r="L39" t="s">
        <v>31</v>
      </c>
      <c r="N39">
        <v>7.0901584625244141</v>
      </c>
      <c r="O39">
        <v>8.4534358978271484</v>
      </c>
      <c r="P39">
        <v>6.6643867492675781</v>
      </c>
      <c r="Q39">
        <v>9.9098358154296875</v>
      </c>
      <c r="S39">
        <v>1</v>
      </c>
      <c r="T39">
        <v>1</v>
      </c>
      <c r="U39">
        <v>1</v>
      </c>
      <c r="V39">
        <v>1</v>
      </c>
      <c r="W39" t="s">
        <v>31</v>
      </c>
      <c r="X39" t="s">
        <v>31</v>
      </c>
      <c r="Y39" t="s">
        <v>31</v>
      </c>
      <c r="Z39" t="s">
        <v>31</v>
      </c>
    </row>
    <row r="40" spans="1:26" x14ac:dyDescent="0.25">
      <c r="A40" t="s">
        <v>75</v>
      </c>
      <c r="B40" t="s">
        <v>294</v>
      </c>
      <c r="C40">
        <v>18169121502.570095</v>
      </c>
      <c r="D40" t="s">
        <v>295</v>
      </c>
      <c r="F40">
        <v>58.8</v>
      </c>
      <c r="G40">
        <v>48.8</v>
      </c>
      <c r="I40">
        <v>3.9300000667572021</v>
      </c>
      <c r="J40">
        <v>5.3862729072570801</v>
      </c>
      <c r="K40">
        <v>1</v>
      </c>
      <c r="L40" t="s">
        <v>31</v>
      </c>
      <c r="N40">
        <v>5.582850456237793</v>
      </c>
      <c r="O40">
        <v>4.4218268394470215</v>
      </c>
      <c r="P40">
        <v>4.1800227165222168</v>
      </c>
      <c r="Q40">
        <v>9.1080226898193359</v>
      </c>
      <c r="S40">
        <v>1</v>
      </c>
      <c r="T40">
        <v>1</v>
      </c>
      <c r="U40">
        <v>1</v>
      </c>
      <c r="V40">
        <v>1</v>
      </c>
      <c r="W40" t="s">
        <v>31</v>
      </c>
      <c r="X40" t="s">
        <v>31</v>
      </c>
      <c r="Y40" t="s">
        <v>31</v>
      </c>
      <c r="Z40" t="s">
        <v>31</v>
      </c>
    </row>
    <row r="41" spans="1:26" x14ac:dyDescent="0.25">
      <c r="A41" t="s">
        <v>76</v>
      </c>
      <c r="B41" t="s">
        <v>296</v>
      </c>
      <c r="C41">
        <v>17673525312.108719</v>
      </c>
      <c r="D41" t="s">
        <v>280</v>
      </c>
      <c r="F41">
        <v>53.5</v>
      </c>
      <c r="G41">
        <v>74.7</v>
      </c>
      <c r="I41">
        <v>3.7599999904632568</v>
      </c>
      <c r="J41">
        <v>6.4905948638916016</v>
      </c>
      <c r="K41">
        <v>0.94610780477523804</v>
      </c>
      <c r="L41" t="s">
        <v>289</v>
      </c>
      <c r="N41">
        <v>6.373903751373291</v>
      </c>
      <c r="O41">
        <v>4.8345184326171875</v>
      </c>
      <c r="P41">
        <v>6.7390732765197754</v>
      </c>
      <c r="Q41">
        <v>9.5114040374755859</v>
      </c>
      <c r="S41">
        <v>1</v>
      </c>
      <c r="T41">
        <v>0.625</v>
      </c>
      <c r="U41">
        <v>1</v>
      </c>
      <c r="V41">
        <v>1</v>
      </c>
      <c r="W41" t="s">
        <v>31</v>
      </c>
      <c r="X41" t="s">
        <v>297</v>
      </c>
      <c r="Y41" t="s">
        <v>31</v>
      </c>
      <c r="Z41" t="s">
        <v>31</v>
      </c>
    </row>
    <row r="42" spans="1:26" x14ac:dyDescent="0.25">
      <c r="A42" t="s">
        <v>77</v>
      </c>
      <c r="B42" t="s">
        <v>298</v>
      </c>
      <c r="C42">
        <v>16723492490.381227</v>
      </c>
      <c r="D42" t="s">
        <v>299</v>
      </c>
      <c r="F42">
        <v>86.8</v>
      </c>
      <c r="G42">
        <v>88.2</v>
      </c>
      <c r="I42">
        <v>5.0100002288818359</v>
      </c>
      <c r="J42">
        <v>7.2331304550170898</v>
      </c>
      <c r="K42">
        <v>1</v>
      </c>
      <c r="L42" t="s">
        <v>31</v>
      </c>
      <c r="N42">
        <v>8.8816518783569336</v>
      </c>
      <c r="O42">
        <v>4.990239143371582</v>
      </c>
      <c r="P42">
        <v>6.5386195182800293</v>
      </c>
      <c r="Q42">
        <v>8.8233747482299805</v>
      </c>
      <c r="S42">
        <v>1</v>
      </c>
      <c r="T42">
        <v>1</v>
      </c>
      <c r="U42">
        <v>1</v>
      </c>
      <c r="V42">
        <v>1</v>
      </c>
      <c r="W42" t="s">
        <v>31</v>
      </c>
      <c r="X42" t="s">
        <v>31</v>
      </c>
      <c r="Y42" t="s">
        <v>31</v>
      </c>
      <c r="Z42" t="s">
        <v>31</v>
      </c>
    </row>
    <row r="43" spans="1:26" x14ac:dyDescent="0.25">
      <c r="A43" t="s">
        <v>78</v>
      </c>
      <c r="B43" t="s">
        <v>300</v>
      </c>
      <c r="C43">
        <v>15316028120.326866</v>
      </c>
      <c r="D43" t="s">
        <v>265</v>
      </c>
      <c r="F43">
        <v>83.2</v>
      </c>
      <c r="G43">
        <v>11.2</v>
      </c>
      <c r="I43">
        <v>4.940000057220459</v>
      </c>
      <c r="J43">
        <v>3.6016027927398682</v>
      </c>
      <c r="K43">
        <v>0.96688741445541382</v>
      </c>
      <c r="L43" t="s">
        <v>254</v>
      </c>
      <c r="N43">
        <v>2.9281594753265381</v>
      </c>
      <c r="O43">
        <v>1.8728891611099243</v>
      </c>
      <c r="P43">
        <v>5.5721859931945801</v>
      </c>
      <c r="Q43">
        <v>5.6308174133300781</v>
      </c>
      <c r="S43">
        <v>1</v>
      </c>
      <c r="T43">
        <v>1</v>
      </c>
      <c r="U43">
        <v>1</v>
      </c>
      <c r="V43">
        <v>0.89361703395843506</v>
      </c>
      <c r="W43" t="s">
        <v>31</v>
      </c>
      <c r="X43" t="s">
        <v>31</v>
      </c>
      <c r="Y43" t="s">
        <v>31</v>
      </c>
      <c r="Z43" t="s">
        <v>226</v>
      </c>
    </row>
    <row r="44" spans="1:26" x14ac:dyDescent="0.25">
      <c r="A44" t="s">
        <v>79</v>
      </c>
      <c r="B44" t="s">
        <v>301</v>
      </c>
      <c r="C44">
        <v>14743564603.401861</v>
      </c>
      <c r="D44" t="s">
        <v>287</v>
      </c>
      <c r="F44">
        <v>58.2</v>
      </c>
      <c r="G44">
        <v>74.099999999999994</v>
      </c>
      <c r="I44">
        <v>3.9200000762939453</v>
      </c>
      <c r="J44">
        <v>6.4901952743530273</v>
      </c>
      <c r="K44">
        <v>0.93449783325195313</v>
      </c>
      <c r="L44" t="s">
        <v>225</v>
      </c>
      <c r="N44">
        <v>7.9115452766418457</v>
      </c>
      <c r="O44">
        <v>6.131828784942627</v>
      </c>
      <c r="P44">
        <v>4.9008522033691406</v>
      </c>
      <c r="Q44">
        <v>6.7195758819580078</v>
      </c>
      <c r="S44">
        <v>1</v>
      </c>
      <c r="T44">
        <v>0.94949495792388916</v>
      </c>
      <c r="U44">
        <v>1</v>
      </c>
      <c r="V44">
        <v>0.81481480598449707</v>
      </c>
      <c r="W44" t="s">
        <v>31</v>
      </c>
      <c r="X44" t="s">
        <v>289</v>
      </c>
      <c r="Y44" t="s">
        <v>31</v>
      </c>
      <c r="Z44" t="s">
        <v>285</v>
      </c>
    </row>
    <row r="45" spans="1:26" x14ac:dyDescent="0.25">
      <c r="A45" t="s">
        <v>80</v>
      </c>
      <c r="B45" t="s">
        <v>302</v>
      </c>
      <c r="C45">
        <v>13910966095.319998</v>
      </c>
      <c r="D45" t="s">
        <v>303</v>
      </c>
      <c r="F45">
        <v>70</v>
      </c>
      <c r="G45">
        <v>90</v>
      </c>
      <c r="I45">
        <v>4.3499999046325684</v>
      </c>
      <c r="J45">
        <v>7.3174653053283691</v>
      </c>
      <c r="K45">
        <v>1</v>
      </c>
      <c r="L45" t="s">
        <v>31</v>
      </c>
      <c r="N45">
        <v>6.8962111473083496</v>
      </c>
      <c r="O45">
        <v>5.9062962532043457</v>
      </c>
      <c r="P45">
        <v>8.0652475357055664</v>
      </c>
      <c r="Q45">
        <v>9.6810522079467773</v>
      </c>
      <c r="S45">
        <v>1</v>
      </c>
      <c r="T45">
        <v>1</v>
      </c>
      <c r="U45">
        <v>1</v>
      </c>
      <c r="V45">
        <v>1</v>
      </c>
      <c r="W45" t="s">
        <v>31</v>
      </c>
      <c r="X45" t="s">
        <v>31</v>
      </c>
      <c r="Y45" t="s">
        <v>31</v>
      </c>
      <c r="Z45" t="s">
        <v>31</v>
      </c>
    </row>
    <row r="46" spans="1:26" x14ac:dyDescent="0.25">
      <c r="A46" t="s">
        <v>81</v>
      </c>
      <c r="B46" t="s">
        <v>304</v>
      </c>
      <c r="C46">
        <v>13499609809.793037</v>
      </c>
      <c r="D46" t="s">
        <v>272</v>
      </c>
      <c r="F46">
        <v>95.9</v>
      </c>
      <c r="G46">
        <v>81.8</v>
      </c>
      <c r="I46">
        <v>5.7699999809265137</v>
      </c>
      <c r="J46">
        <v>6.9788098335266113</v>
      </c>
      <c r="K46">
        <v>0.97041422128677368</v>
      </c>
      <c r="L46" t="s">
        <v>254</v>
      </c>
      <c r="N46">
        <v>7.2879533767700195</v>
      </c>
      <c r="O46">
        <v>5.4500651359558105</v>
      </c>
      <c r="P46">
        <v>6.9967870712280273</v>
      </c>
      <c r="Q46">
        <v>9.009882926940918</v>
      </c>
      <c r="S46">
        <v>1</v>
      </c>
      <c r="T46">
        <v>1</v>
      </c>
      <c r="U46">
        <v>1</v>
      </c>
      <c r="V46">
        <v>0.89361703395843506</v>
      </c>
      <c r="W46" t="s">
        <v>31</v>
      </c>
      <c r="X46" t="s">
        <v>31</v>
      </c>
      <c r="Y46" t="s">
        <v>31</v>
      </c>
      <c r="Z46" t="s">
        <v>226</v>
      </c>
    </row>
    <row r="47" spans="1:26" x14ac:dyDescent="0.25">
      <c r="A47" t="s">
        <v>82</v>
      </c>
      <c r="B47" t="s">
        <v>305</v>
      </c>
      <c r="C47">
        <v>13424197703.531296</v>
      </c>
      <c r="D47" t="s">
        <v>306</v>
      </c>
      <c r="F47">
        <v>76.5</v>
      </c>
      <c r="G47">
        <v>75.900000000000006</v>
      </c>
      <c r="I47">
        <v>4.630000114440918</v>
      </c>
      <c r="J47">
        <v>6.5363402366638184</v>
      </c>
      <c r="K47">
        <v>1</v>
      </c>
      <c r="L47" t="s">
        <v>31</v>
      </c>
      <c r="N47">
        <v>7.2504639625549316</v>
      </c>
      <c r="O47">
        <v>3.9095792770385742</v>
      </c>
      <c r="P47">
        <v>6.5612444877624512</v>
      </c>
      <c r="Q47">
        <v>9.9992656707763672</v>
      </c>
      <c r="S47">
        <v>1</v>
      </c>
      <c r="T47">
        <v>1</v>
      </c>
      <c r="U47">
        <v>1</v>
      </c>
      <c r="V47">
        <v>1</v>
      </c>
      <c r="W47" t="s">
        <v>31</v>
      </c>
      <c r="X47" t="s">
        <v>31</v>
      </c>
      <c r="Y47" t="s">
        <v>31</v>
      </c>
      <c r="Z47" t="s">
        <v>31</v>
      </c>
    </row>
    <row r="48" spans="1:26" x14ac:dyDescent="0.25">
      <c r="A48" t="s">
        <v>83</v>
      </c>
      <c r="B48" t="s">
        <v>307</v>
      </c>
      <c r="C48">
        <v>12822681784.12351</v>
      </c>
      <c r="D48" t="s">
        <v>268</v>
      </c>
      <c r="F48">
        <v>87.6</v>
      </c>
      <c r="G48">
        <v>46.5</v>
      </c>
      <c r="I48">
        <v>5.0300002098083496</v>
      </c>
      <c r="J48">
        <v>5.3496341705322266</v>
      </c>
      <c r="K48">
        <v>0.96835440397262573</v>
      </c>
      <c r="L48" t="s">
        <v>254</v>
      </c>
      <c r="N48">
        <v>2.7817716598510742</v>
      </c>
      <c r="O48">
        <v>6.2436723709106445</v>
      </c>
      <c r="P48">
        <v>7.3777651786804199</v>
      </c>
      <c r="Q48">
        <v>7.706169605255127</v>
      </c>
      <c r="S48">
        <v>0.91935485601425171</v>
      </c>
      <c r="T48">
        <v>1</v>
      </c>
      <c r="U48">
        <v>1</v>
      </c>
      <c r="V48">
        <v>1</v>
      </c>
      <c r="W48" t="s">
        <v>221</v>
      </c>
      <c r="X48" t="s">
        <v>31</v>
      </c>
      <c r="Y48" t="s">
        <v>31</v>
      </c>
      <c r="Z48" t="s">
        <v>31</v>
      </c>
    </row>
    <row r="49" spans="1:26" x14ac:dyDescent="0.25">
      <c r="A49" t="s">
        <v>84</v>
      </c>
      <c r="B49" t="s">
        <v>308</v>
      </c>
      <c r="C49">
        <v>12587634737.694378</v>
      </c>
      <c r="D49" t="s">
        <v>253</v>
      </c>
      <c r="F49">
        <v>52.4</v>
      </c>
      <c r="G49">
        <v>54.1</v>
      </c>
      <c r="I49">
        <v>3.7400000095367432</v>
      </c>
      <c r="J49">
        <v>5.5588407516479492</v>
      </c>
      <c r="K49">
        <v>0.95215308666229248</v>
      </c>
      <c r="L49" t="s">
        <v>289</v>
      </c>
      <c r="N49">
        <v>5.5419244766235352</v>
      </c>
      <c r="O49">
        <v>5.1753778457641602</v>
      </c>
      <c r="P49">
        <v>5.218407154083252</v>
      </c>
      <c r="Q49">
        <v>6.8680486679077148</v>
      </c>
      <c r="S49">
        <v>0.91379308700561523</v>
      </c>
      <c r="T49">
        <v>1</v>
      </c>
      <c r="U49">
        <v>1</v>
      </c>
      <c r="V49">
        <v>0.89361703395843506</v>
      </c>
      <c r="W49" t="s">
        <v>227</v>
      </c>
      <c r="X49" t="s">
        <v>31</v>
      </c>
      <c r="Y49" t="s">
        <v>31</v>
      </c>
      <c r="Z49" t="s">
        <v>226</v>
      </c>
    </row>
    <row r="50" spans="1:26" x14ac:dyDescent="0.25">
      <c r="A50" t="s">
        <v>85</v>
      </c>
      <c r="B50" t="s">
        <v>309</v>
      </c>
      <c r="C50">
        <v>11945968269.583307</v>
      </c>
      <c r="D50" t="s">
        <v>310</v>
      </c>
      <c r="F50">
        <v>68.2</v>
      </c>
      <c r="G50">
        <v>14.7</v>
      </c>
      <c r="I50">
        <v>4.2800002098083496</v>
      </c>
      <c r="J50">
        <v>4.1688084602355957</v>
      </c>
      <c r="K50">
        <v>0.97572815418243408</v>
      </c>
      <c r="L50" t="s">
        <v>258</v>
      </c>
      <c r="N50">
        <v>2.7981598377227783</v>
      </c>
      <c r="O50">
        <v>5.5994491577148438</v>
      </c>
      <c r="P50" t="s">
        <v>311</v>
      </c>
      <c r="Q50">
        <v>5.4400243759155273</v>
      </c>
      <c r="S50">
        <v>1</v>
      </c>
      <c r="T50">
        <v>1</v>
      </c>
      <c r="U50" t="s">
        <v>311</v>
      </c>
      <c r="V50">
        <v>0.90740740299224854</v>
      </c>
      <c r="W50" t="s">
        <v>31</v>
      </c>
      <c r="X50" t="s">
        <v>31</v>
      </c>
      <c r="Z50" t="s">
        <v>227</v>
      </c>
    </row>
    <row r="51" spans="1:26" x14ac:dyDescent="0.25">
      <c r="A51" t="s">
        <v>87</v>
      </c>
      <c r="B51" t="s">
        <v>312</v>
      </c>
      <c r="C51">
        <v>11545121171.637442</v>
      </c>
      <c r="D51" t="s">
        <v>313</v>
      </c>
      <c r="F51">
        <v>39.1</v>
      </c>
      <c r="G51">
        <v>7.6</v>
      </c>
      <c r="I51">
        <v>3.2100000381469727</v>
      </c>
      <c r="J51">
        <v>2.8960847854614258</v>
      </c>
      <c r="K51">
        <v>0.88356167078018188</v>
      </c>
      <c r="L51" t="s">
        <v>33</v>
      </c>
      <c r="N51">
        <v>3.1163299083709717</v>
      </c>
      <c r="O51">
        <v>1.0587856769561768</v>
      </c>
      <c r="P51">
        <v>4.2054858207702637</v>
      </c>
      <c r="Q51">
        <v>3.9633088111877441</v>
      </c>
      <c r="S51">
        <v>0.91666668653488159</v>
      </c>
      <c r="T51">
        <v>1</v>
      </c>
      <c r="U51">
        <v>0.8571428656578064</v>
      </c>
      <c r="V51">
        <v>0.78723406791687012</v>
      </c>
      <c r="W51" t="s">
        <v>221</v>
      </c>
      <c r="X51" t="s">
        <v>31</v>
      </c>
      <c r="Y51" t="s">
        <v>255</v>
      </c>
      <c r="Z51" t="s">
        <v>29</v>
      </c>
    </row>
    <row r="52" spans="1:26" x14ac:dyDescent="0.25">
      <c r="A52" t="s">
        <v>88</v>
      </c>
      <c r="B52" t="s">
        <v>314</v>
      </c>
      <c r="C52">
        <v>11404640146.689894</v>
      </c>
      <c r="D52" t="s">
        <v>291</v>
      </c>
      <c r="F52">
        <v>61.2</v>
      </c>
      <c r="G52">
        <v>84.1</v>
      </c>
      <c r="I52">
        <v>4.0100002288818359</v>
      </c>
      <c r="J52">
        <v>7.0903582572937012</v>
      </c>
      <c r="K52">
        <v>0.97881358861923218</v>
      </c>
      <c r="L52" t="s">
        <v>258</v>
      </c>
      <c r="N52">
        <v>7.0611166954040527</v>
      </c>
      <c r="O52">
        <v>7.3012962341308594</v>
      </c>
      <c r="P52">
        <v>6.9751768112182617</v>
      </c>
      <c r="Q52">
        <v>7.0033764839172363</v>
      </c>
      <c r="S52">
        <v>1</v>
      </c>
      <c r="T52">
        <v>1</v>
      </c>
      <c r="U52">
        <v>1</v>
      </c>
      <c r="V52">
        <v>0.90740740299224854</v>
      </c>
      <c r="W52" t="s">
        <v>31</v>
      </c>
      <c r="X52" t="s">
        <v>31</v>
      </c>
      <c r="Y52" t="s">
        <v>31</v>
      </c>
      <c r="Z52" t="s">
        <v>227</v>
      </c>
    </row>
    <row r="53" spans="1:26" x14ac:dyDescent="0.25">
      <c r="A53" t="s">
        <v>89</v>
      </c>
      <c r="B53" t="s">
        <v>315</v>
      </c>
      <c r="C53">
        <v>10686642170.595184</v>
      </c>
      <c r="D53" t="s">
        <v>268</v>
      </c>
      <c r="F53">
        <v>79.400000000000006</v>
      </c>
      <c r="G53">
        <v>25.3</v>
      </c>
      <c r="I53">
        <v>4.7699999809265137</v>
      </c>
      <c r="J53">
        <v>4.5764064788818359</v>
      </c>
      <c r="K53">
        <v>0.93506491184234619</v>
      </c>
      <c r="L53" t="s">
        <v>51</v>
      </c>
      <c r="N53">
        <v>1.6878550052642822</v>
      </c>
      <c r="O53">
        <v>6.3587288856506348</v>
      </c>
      <c r="P53">
        <v>7.3777651786804199</v>
      </c>
      <c r="Q53">
        <v>5.6283097267150879</v>
      </c>
      <c r="S53">
        <v>0.91379308700561523</v>
      </c>
      <c r="T53">
        <v>1</v>
      </c>
      <c r="U53">
        <v>1</v>
      </c>
      <c r="V53">
        <v>0.89361703395843506</v>
      </c>
      <c r="W53" t="s">
        <v>227</v>
      </c>
      <c r="X53" t="s">
        <v>31</v>
      </c>
      <c r="Y53" t="s">
        <v>31</v>
      </c>
      <c r="Z53" t="s">
        <v>226</v>
      </c>
    </row>
    <row r="54" spans="1:26" x14ac:dyDescent="0.25">
      <c r="A54" t="s">
        <v>90</v>
      </c>
      <c r="B54" t="s">
        <v>316</v>
      </c>
      <c r="C54">
        <v>10653192684.526974</v>
      </c>
      <c r="D54" t="s">
        <v>306</v>
      </c>
      <c r="F54">
        <v>97.1</v>
      </c>
      <c r="G54">
        <v>72.400000000000006</v>
      </c>
      <c r="I54">
        <v>6.059999942779541</v>
      </c>
      <c r="J54">
        <v>6.4359407424926758</v>
      </c>
      <c r="K54">
        <v>1</v>
      </c>
      <c r="L54" t="s">
        <v>31</v>
      </c>
      <c r="N54">
        <v>6.1476740837097168</v>
      </c>
      <c r="O54">
        <v>5.1551070213317871</v>
      </c>
      <c r="P54">
        <v>6.5612444877624512</v>
      </c>
      <c r="Q54">
        <v>9.3568487167358398</v>
      </c>
      <c r="S54">
        <v>1</v>
      </c>
      <c r="T54">
        <v>1</v>
      </c>
      <c r="U54">
        <v>1</v>
      </c>
      <c r="V54">
        <v>1</v>
      </c>
      <c r="W54" t="s">
        <v>31</v>
      </c>
      <c r="X54" t="s">
        <v>31</v>
      </c>
      <c r="Y54" t="s">
        <v>31</v>
      </c>
      <c r="Z54" t="s">
        <v>31</v>
      </c>
    </row>
    <row r="55" spans="1:26" x14ac:dyDescent="0.25">
      <c r="A55" t="s">
        <v>91</v>
      </c>
      <c r="B55" t="s">
        <v>317</v>
      </c>
      <c r="C55">
        <v>10624143137.895182</v>
      </c>
      <c r="D55" t="s">
        <v>237</v>
      </c>
      <c r="F55" t="s">
        <v>238</v>
      </c>
      <c r="G55" t="s">
        <v>238</v>
      </c>
      <c r="I55" t="s">
        <v>238</v>
      </c>
      <c r="J55" t="s">
        <v>238</v>
      </c>
      <c r="K55" t="s">
        <v>238</v>
      </c>
      <c r="N55" t="s">
        <v>238</v>
      </c>
      <c r="O55" t="s">
        <v>238</v>
      </c>
      <c r="P55" t="s">
        <v>238</v>
      </c>
      <c r="Q55" t="s">
        <v>238</v>
      </c>
      <c r="S55" t="s">
        <v>238</v>
      </c>
      <c r="T55" t="s">
        <v>238</v>
      </c>
      <c r="U55" t="s">
        <v>238</v>
      </c>
      <c r="V55" t="s">
        <v>238</v>
      </c>
    </row>
    <row r="56" spans="1:26" x14ac:dyDescent="0.25">
      <c r="A56" t="s">
        <v>92</v>
      </c>
      <c r="B56" t="s">
        <v>318</v>
      </c>
      <c r="C56">
        <v>9227734767.3336468</v>
      </c>
      <c r="D56" t="s">
        <v>319</v>
      </c>
      <c r="F56">
        <v>62.4</v>
      </c>
      <c r="G56">
        <v>64.7</v>
      </c>
      <c r="I56">
        <v>4.0199999809265137</v>
      </c>
      <c r="J56">
        <v>6.0763454437255859</v>
      </c>
      <c r="K56">
        <v>1</v>
      </c>
      <c r="L56" t="s">
        <v>31</v>
      </c>
      <c r="N56">
        <v>7.0478811264038086</v>
      </c>
      <c r="O56">
        <v>4.2954792976379395</v>
      </c>
      <c r="P56">
        <v>5.7651457786560059</v>
      </c>
      <c r="Q56">
        <v>7.6460256576538086</v>
      </c>
      <c r="S56">
        <v>1</v>
      </c>
      <c r="T56">
        <v>1</v>
      </c>
      <c r="U56">
        <v>1</v>
      </c>
      <c r="V56">
        <v>1</v>
      </c>
      <c r="W56" t="s">
        <v>31</v>
      </c>
      <c r="X56" t="s">
        <v>31</v>
      </c>
      <c r="Y56" t="s">
        <v>31</v>
      </c>
      <c r="Z56" t="s">
        <v>31</v>
      </c>
    </row>
    <row r="57" spans="1:26" x14ac:dyDescent="0.25">
      <c r="A57" t="s">
        <v>93</v>
      </c>
      <c r="B57" t="s">
        <v>320</v>
      </c>
      <c r="C57">
        <v>9105177194.5653973</v>
      </c>
      <c r="D57" t="s">
        <v>321</v>
      </c>
      <c r="F57">
        <v>28.8</v>
      </c>
      <c r="G57">
        <v>10.6</v>
      </c>
      <c r="I57">
        <v>2.9000000953674316</v>
      </c>
      <c r="J57">
        <v>3.404672384262085</v>
      </c>
      <c r="K57">
        <v>0.78723406791687012</v>
      </c>
      <c r="L57" t="s">
        <v>29</v>
      </c>
      <c r="N57">
        <v>4.465782642364502</v>
      </c>
      <c r="O57">
        <v>0.4627206027507782</v>
      </c>
      <c r="P57">
        <v>4.9039301872253418</v>
      </c>
      <c r="Q57">
        <v>5.078916072845459</v>
      </c>
      <c r="S57">
        <v>0.89583331346511841</v>
      </c>
      <c r="T57">
        <v>0.60000002384185791</v>
      </c>
      <c r="U57">
        <v>1</v>
      </c>
      <c r="V57">
        <v>0.6808510422706604</v>
      </c>
      <c r="W57" t="s">
        <v>322</v>
      </c>
      <c r="X57" t="s">
        <v>27</v>
      </c>
      <c r="Y57" t="s">
        <v>31</v>
      </c>
      <c r="Z57" t="s">
        <v>323</v>
      </c>
    </row>
    <row r="58" spans="1:26" x14ac:dyDescent="0.25">
      <c r="A58" t="s">
        <v>94</v>
      </c>
      <c r="B58" t="s">
        <v>324</v>
      </c>
      <c r="C58">
        <v>8852854488.3443909</v>
      </c>
      <c r="D58" t="s">
        <v>325</v>
      </c>
      <c r="F58">
        <v>48.8</v>
      </c>
      <c r="G58">
        <v>21.2</v>
      </c>
      <c r="I58">
        <v>3.6600000858306885</v>
      </c>
      <c r="J58">
        <v>4.458892822265625</v>
      </c>
      <c r="K58">
        <v>1</v>
      </c>
      <c r="L58" t="s">
        <v>31</v>
      </c>
      <c r="N58">
        <v>4.7641210556030273</v>
      </c>
      <c r="O58">
        <v>2.0911550521850586</v>
      </c>
      <c r="P58">
        <v>4.0354580879211426</v>
      </c>
      <c r="Q58">
        <v>9.8445539474487305</v>
      </c>
      <c r="S58">
        <v>1</v>
      </c>
      <c r="T58">
        <v>1</v>
      </c>
      <c r="U58">
        <v>1</v>
      </c>
      <c r="V58">
        <v>1</v>
      </c>
      <c r="W58" t="s">
        <v>31</v>
      </c>
      <c r="X58" t="s">
        <v>31</v>
      </c>
      <c r="Y58" t="s">
        <v>31</v>
      </c>
      <c r="Z58" t="s">
        <v>31</v>
      </c>
    </row>
    <row r="59" spans="1:26" x14ac:dyDescent="0.25">
      <c r="A59" t="s">
        <v>95</v>
      </c>
      <c r="B59" t="s">
        <v>326</v>
      </c>
      <c r="C59">
        <v>8834055200.2888126</v>
      </c>
      <c r="D59" t="s">
        <v>280</v>
      </c>
      <c r="F59">
        <v>47.1</v>
      </c>
      <c r="G59">
        <v>87.6</v>
      </c>
      <c r="I59">
        <v>3.5499999523162842</v>
      </c>
      <c r="J59">
        <v>7.1902990341186523</v>
      </c>
      <c r="K59">
        <v>1</v>
      </c>
      <c r="L59" t="s">
        <v>31</v>
      </c>
      <c r="N59">
        <v>7.7430300712585449</v>
      </c>
      <c r="O59">
        <v>6.2027168273925781</v>
      </c>
      <c r="P59">
        <v>6.3088107109069824</v>
      </c>
      <c r="Q59">
        <v>9.2192745208740234</v>
      </c>
      <c r="S59">
        <v>1</v>
      </c>
      <c r="T59">
        <v>1</v>
      </c>
      <c r="U59">
        <v>1</v>
      </c>
      <c r="V59">
        <v>1</v>
      </c>
      <c r="W59" t="s">
        <v>31</v>
      </c>
      <c r="X59" t="s">
        <v>31</v>
      </c>
      <c r="Y59" t="s">
        <v>31</v>
      </c>
      <c r="Z59" t="s">
        <v>31</v>
      </c>
    </row>
    <row r="60" spans="1:26" x14ac:dyDescent="0.25">
      <c r="A60" t="s">
        <v>96</v>
      </c>
      <c r="B60" t="s">
        <v>327</v>
      </c>
      <c r="C60">
        <v>8447775354.5237703</v>
      </c>
      <c r="D60" t="s">
        <v>328</v>
      </c>
      <c r="F60">
        <v>82.4</v>
      </c>
      <c r="G60">
        <v>38.200000000000003</v>
      </c>
      <c r="I60">
        <v>4.929999828338623</v>
      </c>
      <c r="J60">
        <v>5.0679879188537598</v>
      </c>
      <c r="K60">
        <v>0.96598637104034424</v>
      </c>
      <c r="L60" t="s">
        <v>254</v>
      </c>
      <c r="N60">
        <v>5.4817404747009277</v>
      </c>
      <c r="O60">
        <v>2.4298968315124512</v>
      </c>
      <c r="P60">
        <v>6.2308859825134277</v>
      </c>
      <c r="Q60">
        <v>7.4561858177185059</v>
      </c>
      <c r="S60">
        <v>0.91935485601425171</v>
      </c>
      <c r="T60">
        <v>1</v>
      </c>
      <c r="U60">
        <v>1</v>
      </c>
      <c r="V60">
        <v>1</v>
      </c>
      <c r="W60" t="s">
        <v>221</v>
      </c>
      <c r="X60" t="s">
        <v>31</v>
      </c>
      <c r="Y60" t="s">
        <v>31</v>
      </c>
      <c r="Z60" t="s">
        <v>31</v>
      </c>
    </row>
    <row r="61" spans="1:26" x14ac:dyDescent="0.25">
      <c r="A61" t="s">
        <v>97</v>
      </c>
      <c r="B61" t="s">
        <v>329</v>
      </c>
      <c r="C61">
        <v>8177807466.1082401</v>
      </c>
      <c r="D61" t="s">
        <v>330</v>
      </c>
      <c r="F61">
        <v>92.9</v>
      </c>
      <c r="G61">
        <v>93.5</v>
      </c>
      <c r="I61">
        <v>5.5999999046325684</v>
      </c>
      <c r="J61">
        <v>7.7318410873413086</v>
      </c>
      <c r="K61">
        <v>0.94594591856002808</v>
      </c>
      <c r="L61" t="s">
        <v>289</v>
      </c>
      <c r="N61">
        <v>8.3072729110717773</v>
      </c>
      <c r="O61">
        <v>7.370699405670166</v>
      </c>
      <c r="P61">
        <v>7.7760415077209473</v>
      </c>
      <c r="Q61">
        <v>6.9676823616027832</v>
      </c>
      <c r="S61">
        <v>1</v>
      </c>
      <c r="T61">
        <v>0.91525423526763916</v>
      </c>
      <c r="U61">
        <v>1</v>
      </c>
      <c r="V61">
        <v>0.90740740299224854</v>
      </c>
      <c r="W61" t="s">
        <v>31</v>
      </c>
      <c r="X61" t="s">
        <v>221</v>
      </c>
      <c r="Y61" t="s">
        <v>31</v>
      </c>
      <c r="Z61" t="s">
        <v>227</v>
      </c>
    </row>
    <row r="62" spans="1:26" x14ac:dyDescent="0.25">
      <c r="A62" t="s">
        <v>98</v>
      </c>
      <c r="B62" t="s">
        <v>331</v>
      </c>
      <c r="C62">
        <v>7987890038.5991287</v>
      </c>
      <c r="D62" t="s">
        <v>237</v>
      </c>
      <c r="F62" t="s">
        <v>238</v>
      </c>
      <c r="G62" t="s">
        <v>238</v>
      </c>
      <c r="I62" t="s">
        <v>238</v>
      </c>
      <c r="J62" t="s">
        <v>238</v>
      </c>
      <c r="K62" t="s">
        <v>238</v>
      </c>
      <c r="N62" t="s">
        <v>238</v>
      </c>
      <c r="O62" t="s">
        <v>238</v>
      </c>
      <c r="P62" t="s">
        <v>238</v>
      </c>
      <c r="Q62" t="s">
        <v>238</v>
      </c>
      <c r="S62" t="s">
        <v>238</v>
      </c>
      <c r="T62" t="s">
        <v>238</v>
      </c>
      <c r="U62" t="s">
        <v>238</v>
      </c>
      <c r="V62" t="s">
        <v>238</v>
      </c>
    </row>
    <row r="63" spans="1:26" x14ac:dyDescent="0.25">
      <c r="A63" t="s">
        <v>99</v>
      </c>
      <c r="B63" t="s">
        <v>332</v>
      </c>
      <c r="C63">
        <v>7976242607.6999998</v>
      </c>
      <c r="D63" t="s">
        <v>229</v>
      </c>
      <c r="F63">
        <v>19.399999999999999</v>
      </c>
      <c r="G63">
        <v>67.599999999999994</v>
      </c>
      <c r="I63">
        <v>2.4900000095367432</v>
      </c>
      <c r="J63">
        <v>6.2124457359313965</v>
      </c>
      <c r="K63">
        <v>0.96311473846435547</v>
      </c>
      <c r="L63" t="s">
        <v>288</v>
      </c>
      <c r="N63">
        <v>4.7758316993713379</v>
      </c>
      <c r="O63">
        <v>7.1662373542785645</v>
      </c>
      <c r="P63">
        <v>5.6060724258422852</v>
      </c>
      <c r="Q63">
        <v>9.533381462097168</v>
      </c>
      <c r="S63">
        <v>1</v>
      </c>
      <c r="T63">
        <v>0.92929291725158691</v>
      </c>
      <c r="U63">
        <v>0.93103450536727905</v>
      </c>
      <c r="V63">
        <v>1</v>
      </c>
      <c r="W63" t="s">
        <v>31</v>
      </c>
      <c r="X63" t="s">
        <v>225</v>
      </c>
      <c r="Y63" t="s">
        <v>225</v>
      </c>
      <c r="Z63" t="s">
        <v>31</v>
      </c>
    </row>
    <row r="64" spans="1:26" x14ac:dyDescent="0.25">
      <c r="A64" t="s">
        <v>100</v>
      </c>
      <c r="B64" t="s">
        <v>333</v>
      </c>
      <c r="C64">
        <v>7870180567.8117809</v>
      </c>
      <c r="D64" t="s">
        <v>334</v>
      </c>
      <c r="F64">
        <v>31.8</v>
      </c>
      <c r="G64">
        <v>5.3</v>
      </c>
      <c r="I64">
        <v>2.9800000190734863</v>
      </c>
      <c r="J64">
        <v>2.7562024593353271</v>
      </c>
      <c r="K64">
        <v>0.90322577953338623</v>
      </c>
      <c r="L64" t="s">
        <v>322</v>
      </c>
      <c r="N64">
        <v>4.1768898963928223</v>
      </c>
      <c r="O64">
        <v>0.61089396476745605</v>
      </c>
      <c r="P64">
        <v>2.8999016284942627</v>
      </c>
      <c r="Q64">
        <v>3.8397197723388672</v>
      </c>
      <c r="S64">
        <v>1</v>
      </c>
      <c r="T64">
        <v>1</v>
      </c>
      <c r="U64">
        <v>0.76190477609634399</v>
      </c>
      <c r="V64">
        <v>0.78723406791687012</v>
      </c>
      <c r="W64" t="s">
        <v>31</v>
      </c>
      <c r="X64" t="s">
        <v>31</v>
      </c>
      <c r="Y64" t="s">
        <v>222</v>
      </c>
      <c r="Z64" t="s">
        <v>29</v>
      </c>
    </row>
    <row r="65" spans="1:26" x14ac:dyDescent="0.25">
      <c r="A65" t="s">
        <v>101</v>
      </c>
      <c r="B65" t="s">
        <v>335</v>
      </c>
      <c r="C65">
        <v>7664379626.8800001</v>
      </c>
      <c r="D65" t="s">
        <v>229</v>
      </c>
      <c r="F65">
        <v>52.4</v>
      </c>
      <c r="G65">
        <v>95.9</v>
      </c>
      <c r="I65">
        <v>3.7400000095367432</v>
      </c>
      <c r="J65">
        <v>7.8364839553833008</v>
      </c>
      <c r="K65">
        <v>1</v>
      </c>
      <c r="L65" t="s">
        <v>31</v>
      </c>
      <c r="N65">
        <v>8.6323156356811523</v>
      </c>
      <c r="O65">
        <v>6.7738385200500488</v>
      </c>
      <c r="P65">
        <v>7.3725895881652832</v>
      </c>
      <c r="Q65">
        <v>8.6347589492797852</v>
      </c>
      <c r="S65">
        <v>1</v>
      </c>
      <c r="T65">
        <v>1</v>
      </c>
      <c r="U65">
        <v>1</v>
      </c>
      <c r="V65">
        <v>1</v>
      </c>
      <c r="W65" t="s">
        <v>31</v>
      </c>
      <c r="X65" t="s">
        <v>31</v>
      </c>
      <c r="Y65" t="s">
        <v>31</v>
      </c>
      <c r="Z65" t="s">
        <v>31</v>
      </c>
    </row>
    <row r="66" spans="1:26" x14ac:dyDescent="0.25">
      <c r="A66" t="s">
        <v>102</v>
      </c>
      <c r="B66" t="s">
        <v>336</v>
      </c>
      <c r="C66">
        <v>7415906275.3784313</v>
      </c>
      <c r="D66" t="s">
        <v>337</v>
      </c>
      <c r="F66">
        <v>59.4</v>
      </c>
      <c r="G66">
        <v>71.8</v>
      </c>
      <c r="I66">
        <v>3.9700000286102295</v>
      </c>
      <c r="J66">
        <v>6.4061088562011719</v>
      </c>
      <c r="K66">
        <v>1</v>
      </c>
      <c r="L66" t="s">
        <v>31</v>
      </c>
      <c r="N66">
        <v>5.5934157371520996</v>
      </c>
      <c r="O66">
        <v>8.2671756744384766</v>
      </c>
      <c r="P66">
        <v>4.5975847244262695</v>
      </c>
      <c r="Q66">
        <v>8.8029584884643555</v>
      </c>
      <c r="S66">
        <v>1</v>
      </c>
      <c r="T66">
        <v>1</v>
      </c>
      <c r="U66">
        <v>1</v>
      </c>
      <c r="V66">
        <v>1</v>
      </c>
      <c r="W66" t="s">
        <v>31</v>
      </c>
      <c r="X66" t="s">
        <v>31</v>
      </c>
      <c r="Y66" t="s">
        <v>31</v>
      </c>
      <c r="Z66" t="s">
        <v>31</v>
      </c>
    </row>
    <row r="67" spans="1:26" x14ac:dyDescent="0.25">
      <c r="A67" t="s">
        <v>103</v>
      </c>
      <c r="B67" t="s">
        <v>338</v>
      </c>
      <c r="C67">
        <v>7404018265.6203318</v>
      </c>
      <c r="D67" t="s">
        <v>233</v>
      </c>
      <c r="F67">
        <v>98.8</v>
      </c>
      <c r="G67">
        <v>49.4</v>
      </c>
      <c r="I67">
        <v>6.320000171661377</v>
      </c>
      <c r="J67">
        <v>5.3944540023803711</v>
      </c>
      <c r="K67">
        <v>0.91616767644882202</v>
      </c>
      <c r="L67" t="s">
        <v>221</v>
      </c>
      <c r="N67">
        <v>5.9382414817810059</v>
      </c>
      <c r="O67">
        <v>1.7598936557769775</v>
      </c>
      <c r="P67">
        <v>7.6803832054138184</v>
      </c>
      <c r="Q67">
        <v>8.1610393524169922</v>
      </c>
      <c r="S67">
        <v>1</v>
      </c>
      <c r="T67">
        <v>0.68181818723678589</v>
      </c>
      <c r="U67">
        <v>1</v>
      </c>
      <c r="V67">
        <v>1</v>
      </c>
      <c r="W67" t="s">
        <v>31</v>
      </c>
      <c r="X67" t="s">
        <v>323</v>
      </c>
      <c r="Y67" t="s">
        <v>31</v>
      </c>
      <c r="Z67" t="s">
        <v>31</v>
      </c>
    </row>
    <row r="68" spans="1:26" x14ac:dyDescent="0.25">
      <c r="A68" t="s">
        <v>104</v>
      </c>
      <c r="B68" t="s">
        <v>339</v>
      </c>
      <c r="C68">
        <v>7336808677.5906954</v>
      </c>
      <c r="D68" t="s">
        <v>340</v>
      </c>
      <c r="F68">
        <v>54.7</v>
      </c>
      <c r="G68">
        <v>62.9</v>
      </c>
      <c r="I68">
        <v>3.8199999332427979</v>
      </c>
      <c r="J68">
        <v>6.0039172172546387</v>
      </c>
      <c r="K68">
        <v>0.89814811944961548</v>
      </c>
      <c r="L68" t="s">
        <v>322</v>
      </c>
      <c r="N68">
        <v>6.7195162773132324</v>
      </c>
      <c r="O68">
        <v>7.2159385681152344</v>
      </c>
      <c r="P68">
        <v>5.7651457786560059</v>
      </c>
      <c r="Q68">
        <v>3.2178051471710205</v>
      </c>
      <c r="S68">
        <v>1</v>
      </c>
      <c r="T68">
        <v>1</v>
      </c>
      <c r="U68">
        <v>1</v>
      </c>
      <c r="V68">
        <v>0.59259259700775146</v>
      </c>
      <c r="W68" t="s">
        <v>31</v>
      </c>
      <c r="X68" t="s">
        <v>31</v>
      </c>
      <c r="Y68" t="s">
        <v>31</v>
      </c>
      <c r="Z68" t="s">
        <v>43</v>
      </c>
    </row>
    <row r="69" spans="1:26" x14ac:dyDescent="0.25">
      <c r="A69" t="s">
        <v>105</v>
      </c>
      <c r="B69" t="s">
        <v>341</v>
      </c>
      <c r="C69">
        <v>7333974476.5899992</v>
      </c>
      <c r="D69" t="s">
        <v>229</v>
      </c>
      <c r="F69">
        <v>2.9</v>
      </c>
      <c r="G69">
        <v>23.5</v>
      </c>
      <c r="I69">
        <v>1.1200000047683716</v>
      </c>
      <c r="J69">
        <v>4.5011591911315918</v>
      </c>
      <c r="K69">
        <v>1</v>
      </c>
      <c r="L69" t="s">
        <v>31</v>
      </c>
      <c r="N69">
        <v>3.912799596786499</v>
      </c>
      <c r="O69">
        <v>5.9978771209716797</v>
      </c>
      <c r="P69">
        <v>1.9251065254211426</v>
      </c>
      <c r="Q69">
        <v>9.2189970016479492</v>
      </c>
      <c r="S69">
        <v>1</v>
      </c>
      <c r="T69">
        <v>1</v>
      </c>
      <c r="U69">
        <v>1</v>
      </c>
      <c r="V69">
        <v>1</v>
      </c>
      <c r="W69" t="s">
        <v>31</v>
      </c>
      <c r="X69" t="s">
        <v>31</v>
      </c>
      <c r="Y69" t="s">
        <v>31</v>
      </c>
      <c r="Z69" t="s">
        <v>31</v>
      </c>
    </row>
    <row r="70" spans="1:26" x14ac:dyDescent="0.25">
      <c r="A70" t="s">
        <v>106</v>
      </c>
      <c r="B70" t="s">
        <v>342</v>
      </c>
      <c r="C70">
        <v>6974598289.5341749</v>
      </c>
      <c r="D70" t="s">
        <v>343</v>
      </c>
      <c r="F70">
        <v>62.4</v>
      </c>
      <c r="G70">
        <v>55.9</v>
      </c>
      <c r="I70">
        <v>4.0199999809265137</v>
      </c>
      <c r="J70">
        <v>5.6231508255004883</v>
      </c>
      <c r="K70">
        <v>0.86928105354309082</v>
      </c>
      <c r="L70" t="s">
        <v>220</v>
      </c>
      <c r="N70">
        <v>8.9277067184448242</v>
      </c>
      <c r="O70">
        <v>3.7053446769714355</v>
      </c>
      <c r="P70">
        <v>5.4737954139709473</v>
      </c>
      <c r="Q70">
        <v>2.8112974166870117</v>
      </c>
      <c r="S70">
        <v>1</v>
      </c>
      <c r="T70">
        <v>1</v>
      </c>
      <c r="U70">
        <v>1</v>
      </c>
      <c r="V70">
        <v>0.57446807622909546</v>
      </c>
      <c r="W70" t="s">
        <v>31</v>
      </c>
      <c r="X70" t="s">
        <v>31</v>
      </c>
      <c r="Y70" t="s">
        <v>31</v>
      </c>
      <c r="Z70" t="s">
        <v>266</v>
      </c>
    </row>
    <row r="71" spans="1:26" x14ac:dyDescent="0.25">
      <c r="A71" t="s">
        <v>107</v>
      </c>
      <c r="B71" t="s">
        <v>344</v>
      </c>
      <c r="C71">
        <v>6957074061.1757832</v>
      </c>
      <c r="D71" t="s">
        <v>325</v>
      </c>
      <c r="F71">
        <v>36.5</v>
      </c>
      <c r="G71">
        <v>29.4</v>
      </c>
      <c r="I71">
        <v>3.1600000858306885</v>
      </c>
      <c r="J71">
        <v>4.6560640335083008</v>
      </c>
      <c r="K71">
        <v>0.96688741445541382</v>
      </c>
      <c r="L71" t="s">
        <v>254</v>
      </c>
      <c r="N71">
        <v>6.7275838851928711</v>
      </c>
      <c r="O71">
        <v>2.8560347557067871</v>
      </c>
      <c r="P71">
        <v>4.0509834289550781</v>
      </c>
      <c r="Q71">
        <v>4.5127172470092773</v>
      </c>
      <c r="S71">
        <v>1</v>
      </c>
      <c r="T71">
        <v>1</v>
      </c>
      <c r="U71">
        <v>1</v>
      </c>
      <c r="V71">
        <v>0.89361703395843506</v>
      </c>
      <c r="W71" t="s">
        <v>31</v>
      </c>
      <c r="X71" t="s">
        <v>31</v>
      </c>
      <c r="Y71" t="s">
        <v>31</v>
      </c>
      <c r="Z71" t="s">
        <v>226</v>
      </c>
    </row>
    <row r="72" spans="1:26" x14ac:dyDescent="0.25">
      <c r="A72" t="s">
        <v>108</v>
      </c>
      <c r="B72" t="s">
        <v>345</v>
      </c>
      <c r="C72">
        <v>6747777953.5805712</v>
      </c>
      <c r="D72" t="s">
        <v>325</v>
      </c>
      <c r="F72">
        <v>51.2</v>
      </c>
      <c r="G72">
        <v>66.5</v>
      </c>
      <c r="I72">
        <v>3.7300000190734863</v>
      </c>
      <c r="J72">
        <v>6.1726217269897461</v>
      </c>
      <c r="K72">
        <v>1</v>
      </c>
      <c r="L72" t="s">
        <v>31</v>
      </c>
      <c r="N72">
        <v>7.6901888847351074</v>
      </c>
      <c r="O72">
        <v>4.0810189247131348</v>
      </c>
      <c r="P72">
        <v>5.2182059288024902</v>
      </c>
      <c r="Q72">
        <v>8.3470468521118164</v>
      </c>
      <c r="S72">
        <v>1</v>
      </c>
      <c r="T72">
        <v>1</v>
      </c>
      <c r="U72">
        <v>1</v>
      </c>
      <c r="V72">
        <v>1</v>
      </c>
      <c r="W72" t="s">
        <v>31</v>
      </c>
      <c r="X72" t="s">
        <v>31</v>
      </c>
      <c r="Y72" t="s">
        <v>31</v>
      </c>
      <c r="Z72" t="s">
        <v>31</v>
      </c>
    </row>
    <row r="73" spans="1:26" x14ac:dyDescent="0.25">
      <c r="A73" t="s">
        <v>109</v>
      </c>
      <c r="B73" t="s">
        <v>346</v>
      </c>
      <c r="C73">
        <v>6649157335.4257975</v>
      </c>
      <c r="D73" t="s">
        <v>347</v>
      </c>
      <c r="F73">
        <v>61.2</v>
      </c>
      <c r="G73">
        <v>84.1</v>
      </c>
      <c r="I73">
        <v>4.0100002288818359</v>
      </c>
      <c r="J73">
        <v>7.0903582572937012</v>
      </c>
      <c r="K73">
        <v>0.97881358861923218</v>
      </c>
      <c r="L73" t="s">
        <v>258</v>
      </c>
      <c r="N73">
        <v>7.0611166954040527</v>
      </c>
      <c r="O73">
        <v>7.3012962341308594</v>
      </c>
      <c r="P73">
        <v>6.9751768112182617</v>
      </c>
      <c r="Q73">
        <v>7.0033764839172363</v>
      </c>
      <c r="S73">
        <v>1</v>
      </c>
      <c r="T73">
        <v>1</v>
      </c>
      <c r="U73">
        <v>1</v>
      </c>
      <c r="V73">
        <v>0.90740740299224854</v>
      </c>
      <c r="W73" t="s">
        <v>31</v>
      </c>
      <c r="X73" t="s">
        <v>31</v>
      </c>
      <c r="Y73" t="s">
        <v>31</v>
      </c>
      <c r="Z73" t="s">
        <v>227</v>
      </c>
    </row>
    <row r="74" spans="1:26" x14ac:dyDescent="0.25">
      <c r="A74" t="s">
        <v>110</v>
      </c>
      <c r="B74" t="s">
        <v>348</v>
      </c>
      <c r="C74">
        <v>6259956387.4656248</v>
      </c>
      <c r="D74" t="s">
        <v>233</v>
      </c>
      <c r="F74">
        <v>85.9</v>
      </c>
      <c r="G74">
        <v>78.8</v>
      </c>
      <c r="I74">
        <v>5</v>
      </c>
      <c r="J74">
        <v>6.6705222129821777</v>
      </c>
      <c r="K74">
        <v>1</v>
      </c>
      <c r="L74" t="s">
        <v>31</v>
      </c>
      <c r="N74">
        <v>9.0774593353271484</v>
      </c>
      <c r="O74">
        <v>5.4090399742126465</v>
      </c>
      <c r="P74">
        <v>3.9794976711273193</v>
      </c>
      <c r="Q74">
        <v>8.6837015151977539</v>
      </c>
      <c r="S74">
        <v>1</v>
      </c>
      <c r="T74">
        <v>1</v>
      </c>
      <c r="U74">
        <v>1</v>
      </c>
      <c r="V74">
        <v>1</v>
      </c>
      <c r="W74" t="s">
        <v>31</v>
      </c>
      <c r="X74" t="s">
        <v>31</v>
      </c>
      <c r="Y74" t="s">
        <v>31</v>
      </c>
      <c r="Z74" t="s">
        <v>31</v>
      </c>
    </row>
    <row r="75" spans="1:26" x14ac:dyDescent="0.25">
      <c r="A75" t="s">
        <v>111</v>
      </c>
      <c r="B75" t="s">
        <v>349</v>
      </c>
      <c r="C75">
        <v>5944979616.5428009</v>
      </c>
      <c r="D75" t="s">
        <v>310</v>
      </c>
      <c r="F75">
        <v>84.1</v>
      </c>
      <c r="G75">
        <v>14.1</v>
      </c>
      <c r="I75">
        <v>4.9499998092651367</v>
      </c>
      <c r="J75">
        <v>4.1259050369262695</v>
      </c>
      <c r="K75">
        <v>1</v>
      </c>
      <c r="L75" t="s">
        <v>31</v>
      </c>
      <c r="N75">
        <v>2.5980417728424072</v>
      </c>
      <c r="O75">
        <v>4.125577449798584</v>
      </c>
      <c r="P75">
        <v>4.7502741813659668</v>
      </c>
      <c r="Q75">
        <v>7.3707456588745117</v>
      </c>
      <c r="S75">
        <v>1</v>
      </c>
      <c r="T75">
        <v>1</v>
      </c>
      <c r="U75">
        <v>1</v>
      </c>
      <c r="V75">
        <v>1</v>
      </c>
      <c r="W75" t="s">
        <v>31</v>
      </c>
      <c r="X75" t="s">
        <v>31</v>
      </c>
      <c r="Y75" t="s">
        <v>31</v>
      </c>
      <c r="Z75" t="s">
        <v>31</v>
      </c>
    </row>
    <row r="76" spans="1:26" x14ac:dyDescent="0.25">
      <c r="A76" t="s">
        <v>112</v>
      </c>
      <c r="B76" t="s">
        <v>350</v>
      </c>
      <c r="C76">
        <v>5892439313.4357605</v>
      </c>
      <c r="D76" t="s">
        <v>260</v>
      </c>
      <c r="F76">
        <v>30.6</v>
      </c>
      <c r="G76">
        <v>67.099999999999994</v>
      </c>
      <c r="I76">
        <v>2.940000057220459</v>
      </c>
      <c r="J76">
        <v>6.1842465400695801</v>
      </c>
      <c r="K76">
        <v>0.97816592454910278</v>
      </c>
      <c r="L76" t="s">
        <v>258</v>
      </c>
      <c r="N76">
        <v>3.3468866348266602</v>
      </c>
      <c r="O76">
        <v>8.1773557662963867</v>
      </c>
      <c r="P76">
        <v>7.9601707458496094</v>
      </c>
      <c r="Q76">
        <v>7.8022480010986328</v>
      </c>
      <c r="S76">
        <v>0.91935485601425171</v>
      </c>
      <c r="T76">
        <v>1</v>
      </c>
      <c r="U76">
        <v>1</v>
      </c>
      <c r="V76">
        <v>1</v>
      </c>
      <c r="W76" t="s">
        <v>221</v>
      </c>
      <c r="X76" t="s">
        <v>31</v>
      </c>
      <c r="Y76" t="s">
        <v>31</v>
      </c>
      <c r="Z76" t="s">
        <v>31</v>
      </c>
    </row>
    <row r="77" spans="1:26" x14ac:dyDescent="0.25">
      <c r="A77" t="s">
        <v>113</v>
      </c>
      <c r="B77" t="s">
        <v>351</v>
      </c>
      <c r="C77">
        <v>5772599065.9242582</v>
      </c>
      <c r="D77" t="s">
        <v>352</v>
      </c>
      <c r="F77">
        <v>57.4</v>
      </c>
      <c r="G77">
        <v>40</v>
      </c>
      <c r="I77">
        <v>3.9100000858306885</v>
      </c>
      <c r="J77">
        <v>5.1265883445739746</v>
      </c>
      <c r="K77">
        <v>0.8611111044883728</v>
      </c>
      <c r="L77" t="s">
        <v>255</v>
      </c>
      <c r="N77">
        <v>7.6702475547790527</v>
      </c>
      <c r="O77">
        <v>1.4295822381973267</v>
      </c>
      <c r="P77">
        <v>6.819554328918457</v>
      </c>
      <c r="Q77">
        <v>4.6191096305847168</v>
      </c>
      <c r="S77">
        <v>1</v>
      </c>
      <c r="T77">
        <v>0.60000002384185791</v>
      </c>
      <c r="U77">
        <v>1</v>
      </c>
      <c r="V77">
        <v>0.78723406791687012</v>
      </c>
      <c r="W77" t="s">
        <v>31</v>
      </c>
      <c r="X77" t="s">
        <v>27</v>
      </c>
      <c r="Y77" t="s">
        <v>31</v>
      </c>
      <c r="Z77" t="s">
        <v>29</v>
      </c>
    </row>
    <row r="78" spans="1:26" x14ac:dyDescent="0.25">
      <c r="A78" t="s">
        <v>114</v>
      </c>
      <c r="B78" t="s">
        <v>353</v>
      </c>
      <c r="C78">
        <v>5306980087.3592577</v>
      </c>
      <c r="D78" t="s">
        <v>354</v>
      </c>
      <c r="F78">
        <v>64.7</v>
      </c>
      <c r="G78">
        <v>17.100000000000001</v>
      </c>
      <c r="I78">
        <v>4.0999999046325684</v>
      </c>
      <c r="J78">
        <v>4.2890434265136719</v>
      </c>
      <c r="K78">
        <v>0.8263888955116272</v>
      </c>
      <c r="L78" t="s">
        <v>355</v>
      </c>
      <c r="N78">
        <v>5.9011030197143555</v>
      </c>
      <c r="O78">
        <v>0.22924169898033142</v>
      </c>
      <c r="P78">
        <v>6.5612444877624512</v>
      </c>
      <c r="Q78">
        <v>6.6416640281677246</v>
      </c>
      <c r="S78">
        <v>1</v>
      </c>
      <c r="T78">
        <v>0.60000002384185791</v>
      </c>
      <c r="U78">
        <v>1</v>
      </c>
      <c r="V78">
        <v>0.6808510422706604</v>
      </c>
      <c r="W78" t="s">
        <v>31</v>
      </c>
      <c r="X78" t="s">
        <v>27</v>
      </c>
      <c r="Y78" t="s">
        <v>31</v>
      </c>
      <c r="Z78" t="s">
        <v>323</v>
      </c>
    </row>
    <row r="79" spans="1:26" x14ac:dyDescent="0.25">
      <c r="A79" t="s">
        <v>115</v>
      </c>
      <c r="B79" t="s">
        <v>356</v>
      </c>
      <c r="C79">
        <v>5218466535.1199999</v>
      </c>
      <c r="D79" t="s">
        <v>229</v>
      </c>
      <c r="F79">
        <v>34.4</v>
      </c>
      <c r="G79">
        <v>56.5</v>
      </c>
      <c r="I79">
        <v>3.0899999141693115</v>
      </c>
      <c r="J79">
        <v>5.6313009262084961</v>
      </c>
      <c r="K79">
        <v>1</v>
      </c>
      <c r="L79" t="s">
        <v>31</v>
      </c>
      <c r="N79">
        <v>4.1880011558532715</v>
      </c>
      <c r="O79">
        <v>6.6676607131958008</v>
      </c>
      <c r="P79">
        <v>4.7199993133544922</v>
      </c>
      <c r="Q79">
        <v>9.5382595062255859</v>
      </c>
      <c r="S79">
        <v>1</v>
      </c>
      <c r="T79">
        <v>1</v>
      </c>
      <c r="U79">
        <v>1</v>
      </c>
      <c r="V79">
        <v>1</v>
      </c>
      <c r="W79" t="s">
        <v>31</v>
      </c>
      <c r="X79" t="s">
        <v>31</v>
      </c>
      <c r="Y79" t="s">
        <v>31</v>
      </c>
      <c r="Z79" t="s">
        <v>31</v>
      </c>
    </row>
    <row r="80" spans="1:26" x14ac:dyDescent="0.25">
      <c r="A80" t="s">
        <v>116</v>
      </c>
      <c r="B80" t="s">
        <v>357</v>
      </c>
      <c r="C80">
        <v>5155792980.0090685</v>
      </c>
      <c r="D80" t="s">
        <v>358</v>
      </c>
      <c r="F80">
        <v>77.099999999999994</v>
      </c>
      <c r="G80">
        <v>40.6</v>
      </c>
      <c r="I80">
        <v>4.6700000762939453</v>
      </c>
      <c r="J80">
        <v>5.1660809516906738</v>
      </c>
      <c r="K80">
        <v>0.92432433366775513</v>
      </c>
      <c r="L80" t="s">
        <v>221</v>
      </c>
      <c r="N80">
        <v>5.2247323989868164</v>
      </c>
      <c r="O80">
        <v>2.9420897960662842</v>
      </c>
      <c r="P80">
        <v>6.0394158363342285</v>
      </c>
      <c r="Q80">
        <v>7.9766736030578613</v>
      </c>
      <c r="S80">
        <v>1</v>
      </c>
      <c r="T80">
        <v>0.86956518888473511</v>
      </c>
      <c r="U80">
        <v>1</v>
      </c>
      <c r="V80">
        <v>0.89361703395843506</v>
      </c>
      <c r="W80" t="s">
        <v>31</v>
      </c>
      <c r="X80" t="s">
        <v>220</v>
      </c>
      <c r="Y80" t="s">
        <v>31</v>
      </c>
      <c r="Z80" t="s">
        <v>226</v>
      </c>
    </row>
    <row r="81" spans="1:26" x14ac:dyDescent="0.25">
      <c r="A81" t="s">
        <v>117</v>
      </c>
      <c r="B81" t="s">
        <v>359</v>
      </c>
      <c r="C81">
        <v>5023262453.017705</v>
      </c>
      <c r="D81" t="s">
        <v>306</v>
      </c>
      <c r="F81">
        <v>49.4</v>
      </c>
      <c r="G81">
        <v>35.299999999999997</v>
      </c>
      <c r="I81">
        <v>3.6800000667572021</v>
      </c>
      <c r="J81">
        <v>5.0236172676086426</v>
      </c>
      <c r="K81">
        <v>1</v>
      </c>
      <c r="L81" t="s">
        <v>31</v>
      </c>
      <c r="N81">
        <v>4.7567095756530762</v>
      </c>
      <c r="O81">
        <v>2.3401720523834229</v>
      </c>
      <c r="P81">
        <v>6.0314140319824219</v>
      </c>
      <c r="Q81">
        <v>9.8201885223388672</v>
      </c>
      <c r="S81">
        <v>1</v>
      </c>
      <c r="T81">
        <v>1</v>
      </c>
      <c r="U81">
        <v>1</v>
      </c>
      <c r="V81">
        <v>1</v>
      </c>
      <c r="W81" t="s">
        <v>31</v>
      </c>
      <c r="X81" t="s">
        <v>31</v>
      </c>
      <c r="Y81" t="s">
        <v>31</v>
      </c>
      <c r="Z81" t="s">
        <v>31</v>
      </c>
    </row>
    <row r="82" spans="1:26" x14ac:dyDescent="0.25">
      <c r="A82" t="s">
        <v>118</v>
      </c>
      <c r="B82" t="s">
        <v>360</v>
      </c>
      <c r="C82">
        <v>4978268695.0072107</v>
      </c>
      <c r="D82" t="s">
        <v>233</v>
      </c>
      <c r="F82">
        <v>62.4</v>
      </c>
      <c r="G82">
        <v>61.8</v>
      </c>
      <c r="I82">
        <v>4.0199999809265137</v>
      </c>
      <c r="J82">
        <v>5.8918681144714355</v>
      </c>
      <c r="K82">
        <v>1</v>
      </c>
      <c r="L82" t="s">
        <v>31</v>
      </c>
      <c r="N82">
        <v>5.571688175201416</v>
      </c>
      <c r="O82">
        <v>5.9226741790771484</v>
      </c>
      <c r="P82">
        <v>4.5682978630065918</v>
      </c>
      <c r="Q82">
        <v>9.215367317199707</v>
      </c>
      <c r="S82">
        <v>1</v>
      </c>
      <c r="T82">
        <v>1</v>
      </c>
      <c r="U82">
        <v>1</v>
      </c>
      <c r="V82">
        <v>1</v>
      </c>
      <c r="W82" t="s">
        <v>31</v>
      </c>
      <c r="X82" t="s">
        <v>31</v>
      </c>
      <c r="Y82" t="s">
        <v>31</v>
      </c>
      <c r="Z82" t="s">
        <v>31</v>
      </c>
    </row>
    <row r="83" spans="1:26" x14ac:dyDescent="0.25">
      <c r="A83" t="s">
        <v>119</v>
      </c>
      <c r="B83" t="s">
        <v>361</v>
      </c>
      <c r="C83">
        <v>4975472166.3109465</v>
      </c>
      <c r="D83" t="s">
        <v>352</v>
      </c>
      <c r="F83">
        <v>27.4</v>
      </c>
      <c r="G83">
        <v>30</v>
      </c>
      <c r="I83">
        <v>2.7899999618530273</v>
      </c>
      <c r="J83">
        <v>4.7195148468017578</v>
      </c>
      <c r="K83">
        <v>0.9637681245803833</v>
      </c>
      <c r="L83" t="s">
        <v>288</v>
      </c>
      <c r="N83">
        <v>5.9728403091430664</v>
      </c>
      <c r="O83">
        <v>1.1024999618530273</v>
      </c>
      <c r="P83">
        <v>6.2308859825134277</v>
      </c>
      <c r="Q83">
        <v>7.2770881652832031</v>
      </c>
      <c r="S83">
        <v>1</v>
      </c>
      <c r="T83">
        <v>1</v>
      </c>
      <c r="U83">
        <v>1</v>
      </c>
      <c r="V83">
        <v>0.89361703395843506</v>
      </c>
      <c r="W83" t="s">
        <v>31</v>
      </c>
      <c r="X83" t="s">
        <v>31</v>
      </c>
      <c r="Y83" t="s">
        <v>31</v>
      </c>
      <c r="Z83" t="s">
        <v>226</v>
      </c>
    </row>
    <row r="84" spans="1:26" x14ac:dyDescent="0.25">
      <c r="A84" t="s">
        <v>120</v>
      </c>
      <c r="B84" t="s">
        <v>362</v>
      </c>
      <c r="C84">
        <v>4969115874.8688631</v>
      </c>
      <c r="D84" t="s">
        <v>325</v>
      </c>
      <c r="F84">
        <v>25.3</v>
      </c>
      <c r="G84">
        <v>57.1</v>
      </c>
      <c r="I84">
        <v>2.75</v>
      </c>
      <c r="J84">
        <v>5.6372923851013184</v>
      </c>
      <c r="K84">
        <v>0.96774190664291382</v>
      </c>
      <c r="L84" t="s">
        <v>254</v>
      </c>
      <c r="N84">
        <v>5.9929513931274414</v>
      </c>
      <c r="O84">
        <v>5.1495180130004883</v>
      </c>
      <c r="P84">
        <v>6.163905143737793</v>
      </c>
      <c r="Q84">
        <v>4.8196148872375488</v>
      </c>
      <c r="S84">
        <v>1</v>
      </c>
      <c r="T84">
        <v>1</v>
      </c>
      <c r="U84">
        <v>1</v>
      </c>
      <c r="V84">
        <v>0.89361703395843506</v>
      </c>
      <c r="W84" t="s">
        <v>31</v>
      </c>
      <c r="X84" t="s">
        <v>31</v>
      </c>
      <c r="Y84" t="s">
        <v>31</v>
      </c>
      <c r="Z84" t="s">
        <v>226</v>
      </c>
    </row>
    <row r="85" spans="1:26" x14ac:dyDescent="0.25">
      <c r="A85" t="s">
        <v>121</v>
      </c>
      <c r="B85" t="s">
        <v>363</v>
      </c>
      <c r="C85">
        <v>4723220644.9680223</v>
      </c>
      <c r="D85" t="s">
        <v>224</v>
      </c>
      <c r="F85">
        <v>20</v>
      </c>
      <c r="G85">
        <v>47.1</v>
      </c>
      <c r="I85">
        <v>2.5199999809265137</v>
      </c>
      <c r="J85">
        <v>5.3598623275756836</v>
      </c>
      <c r="K85">
        <v>0.82741117477416992</v>
      </c>
      <c r="L85" t="s">
        <v>355</v>
      </c>
      <c r="N85">
        <v>5.1584048271179199</v>
      </c>
      <c r="O85">
        <v>3.3026425838470459</v>
      </c>
      <c r="P85">
        <v>7.086885929107666</v>
      </c>
      <c r="Q85">
        <v>6.9656853675842285</v>
      </c>
      <c r="S85">
        <v>1</v>
      </c>
      <c r="T85">
        <v>0.57971012592315674</v>
      </c>
      <c r="U85">
        <v>1</v>
      </c>
      <c r="V85">
        <v>0.90740740299224854</v>
      </c>
      <c r="W85" t="s">
        <v>31</v>
      </c>
      <c r="X85" t="s">
        <v>284</v>
      </c>
      <c r="Y85" t="s">
        <v>31</v>
      </c>
      <c r="Z85" t="s">
        <v>227</v>
      </c>
    </row>
    <row r="86" spans="1:26" x14ac:dyDescent="0.25">
      <c r="A86" t="s">
        <v>122</v>
      </c>
      <c r="B86" t="s">
        <v>364</v>
      </c>
      <c r="C86">
        <v>4609724325.1279221</v>
      </c>
      <c r="D86" t="s">
        <v>365</v>
      </c>
      <c r="F86">
        <v>67.400000000000006</v>
      </c>
      <c r="G86">
        <v>35.9</v>
      </c>
      <c r="I86">
        <v>4.2699999809265137</v>
      </c>
      <c r="J86">
        <v>5.0237693786621094</v>
      </c>
      <c r="K86">
        <v>0.93243241310119629</v>
      </c>
      <c r="L86" t="s">
        <v>225</v>
      </c>
      <c r="N86">
        <v>2.4929897785186768</v>
      </c>
      <c r="O86">
        <v>4.3257293701171875</v>
      </c>
      <c r="P86">
        <v>7.7760415077209473</v>
      </c>
      <c r="Q86">
        <v>9.3243255615234375</v>
      </c>
      <c r="S86">
        <v>1</v>
      </c>
      <c r="T86">
        <v>0.60000002384185791</v>
      </c>
      <c r="U86">
        <v>1</v>
      </c>
      <c r="V86">
        <v>1</v>
      </c>
      <c r="W86" t="s">
        <v>31</v>
      </c>
      <c r="X86" t="s">
        <v>27</v>
      </c>
      <c r="Y86" t="s">
        <v>31</v>
      </c>
      <c r="Z86" t="s">
        <v>31</v>
      </c>
    </row>
    <row r="87" spans="1:26" x14ac:dyDescent="0.25">
      <c r="A87" t="s">
        <v>123</v>
      </c>
      <c r="B87" t="s">
        <v>366</v>
      </c>
      <c r="C87">
        <v>4562565760.7874451</v>
      </c>
      <c r="D87" t="s">
        <v>237</v>
      </c>
      <c r="F87" t="s">
        <v>238</v>
      </c>
      <c r="G87" t="s">
        <v>238</v>
      </c>
      <c r="I87" t="s">
        <v>238</v>
      </c>
      <c r="J87" t="s">
        <v>238</v>
      </c>
      <c r="K87" t="s">
        <v>238</v>
      </c>
      <c r="N87" t="s">
        <v>238</v>
      </c>
      <c r="O87" t="s">
        <v>238</v>
      </c>
      <c r="P87" t="s">
        <v>238</v>
      </c>
      <c r="Q87" t="s">
        <v>238</v>
      </c>
      <c r="S87" t="s">
        <v>238</v>
      </c>
      <c r="T87" t="s">
        <v>238</v>
      </c>
      <c r="U87" t="s">
        <v>238</v>
      </c>
      <c r="V87" t="s">
        <v>238</v>
      </c>
    </row>
    <row r="88" spans="1:26" x14ac:dyDescent="0.25">
      <c r="A88" t="s">
        <v>124</v>
      </c>
      <c r="B88" t="s">
        <v>367</v>
      </c>
      <c r="C88">
        <v>4480194303.8995876</v>
      </c>
      <c r="D88" t="s">
        <v>257</v>
      </c>
      <c r="F88">
        <v>81.8</v>
      </c>
      <c r="G88">
        <v>48.2</v>
      </c>
      <c r="I88">
        <v>4.8899998664855957</v>
      </c>
      <c r="J88">
        <v>5.3780264854431152</v>
      </c>
      <c r="K88">
        <v>0.93087559938430786</v>
      </c>
      <c r="L88" t="s">
        <v>225</v>
      </c>
      <c r="N88">
        <v>2.8578977584838867</v>
      </c>
      <c r="O88">
        <v>5.7384095191955566</v>
      </c>
      <c r="P88">
        <v>8.3999290466308594</v>
      </c>
      <c r="Q88">
        <v>6.9386758804321289</v>
      </c>
      <c r="S88">
        <v>1</v>
      </c>
      <c r="T88">
        <v>0.9404761791229248</v>
      </c>
      <c r="U88">
        <v>1</v>
      </c>
      <c r="V88">
        <v>0.81481480598449707</v>
      </c>
      <c r="W88" t="s">
        <v>31</v>
      </c>
      <c r="X88" t="s">
        <v>51</v>
      </c>
      <c r="Y88" t="s">
        <v>31</v>
      </c>
      <c r="Z88" t="s">
        <v>285</v>
      </c>
    </row>
    <row r="89" spans="1:26" x14ac:dyDescent="0.25">
      <c r="A89" t="s">
        <v>125</v>
      </c>
      <c r="B89" t="s">
        <v>368</v>
      </c>
      <c r="C89">
        <v>4273739645.7599988</v>
      </c>
      <c r="D89" t="s">
        <v>229</v>
      </c>
      <c r="F89">
        <v>10.6</v>
      </c>
      <c r="G89">
        <v>65.900000000000006</v>
      </c>
      <c r="I89">
        <v>1.8500000238418579</v>
      </c>
      <c r="J89">
        <v>6.113316535949707</v>
      </c>
      <c r="K89">
        <v>0.97950822114944458</v>
      </c>
      <c r="L89" t="s">
        <v>258</v>
      </c>
      <c r="N89">
        <v>4.4682016372680664</v>
      </c>
      <c r="O89">
        <v>7.6934351921081543</v>
      </c>
      <c r="P89">
        <v>6.0780086517333984</v>
      </c>
      <c r="Q89">
        <v>7.8492279052734375</v>
      </c>
      <c r="S89">
        <v>1</v>
      </c>
      <c r="T89">
        <v>1</v>
      </c>
      <c r="U89">
        <v>1</v>
      </c>
      <c r="V89">
        <v>0.90740740299224854</v>
      </c>
      <c r="W89" t="s">
        <v>31</v>
      </c>
      <c r="X89" t="s">
        <v>31</v>
      </c>
      <c r="Y89" t="s">
        <v>31</v>
      </c>
      <c r="Z89" t="s">
        <v>227</v>
      </c>
    </row>
    <row r="90" spans="1:26" x14ac:dyDescent="0.25">
      <c r="A90" t="s">
        <v>126</v>
      </c>
      <c r="B90" t="s">
        <v>369</v>
      </c>
      <c r="C90">
        <v>4100658302.5499992</v>
      </c>
      <c r="D90" t="s">
        <v>370</v>
      </c>
      <c r="F90">
        <v>45.6</v>
      </c>
      <c r="G90">
        <v>24.1</v>
      </c>
      <c r="I90">
        <v>3.4900000095367432</v>
      </c>
      <c r="J90">
        <v>4.5015320777893066</v>
      </c>
      <c r="K90">
        <v>1</v>
      </c>
      <c r="L90" t="s">
        <v>31</v>
      </c>
      <c r="N90">
        <v>3.7859108448028564</v>
      </c>
      <c r="O90">
        <v>4.3432278633117676</v>
      </c>
      <c r="P90">
        <v>3.2429842948913574</v>
      </c>
      <c r="Q90">
        <v>9.4843807220458984</v>
      </c>
      <c r="S90">
        <v>1</v>
      </c>
      <c r="T90">
        <v>1</v>
      </c>
      <c r="U90">
        <v>1</v>
      </c>
      <c r="V90">
        <v>1</v>
      </c>
      <c r="W90" t="s">
        <v>31</v>
      </c>
      <c r="X90" t="s">
        <v>31</v>
      </c>
      <c r="Y90" t="s">
        <v>31</v>
      </c>
      <c r="Z90" t="s">
        <v>31</v>
      </c>
    </row>
    <row r="91" spans="1:26" x14ac:dyDescent="0.25">
      <c r="A91" t="s">
        <v>127</v>
      </c>
      <c r="B91" t="s">
        <v>371</v>
      </c>
      <c r="C91">
        <v>4050189460.5140195</v>
      </c>
      <c r="D91" t="s">
        <v>295</v>
      </c>
      <c r="F91">
        <v>56.5</v>
      </c>
      <c r="G91">
        <v>16.5</v>
      </c>
      <c r="I91">
        <v>3.9000000953674316</v>
      </c>
      <c r="J91">
        <v>4.2869291305541992</v>
      </c>
      <c r="K91">
        <v>1</v>
      </c>
      <c r="L91" t="s">
        <v>31</v>
      </c>
      <c r="N91">
        <v>4.1838979721069336</v>
      </c>
      <c r="O91">
        <v>2.5022702217102051</v>
      </c>
      <c r="P91">
        <v>4.1800227165222168</v>
      </c>
      <c r="Q91">
        <v>8.5818061828613281</v>
      </c>
      <c r="S91">
        <v>1</v>
      </c>
      <c r="T91">
        <v>1</v>
      </c>
      <c r="U91">
        <v>1</v>
      </c>
      <c r="V91">
        <v>1</v>
      </c>
      <c r="W91" t="s">
        <v>31</v>
      </c>
      <c r="X91" t="s">
        <v>31</v>
      </c>
      <c r="Y91" t="s">
        <v>31</v>
      </c>
      <c r="Z91" t="s">
        <v>31</v>
      </c>
    </row>
    <row r="92" spans="1:26" x14ac:dyDescent="0.25">
      <c r="A92" t="s">
        <v>128</v>
      </c>
      <c r="B92" t="s">
        <v>372</v>
      </c>
      <c r="C92">
        <v>3900803306.4033422</v>
      </c>
      <c r="D92" t="s">
        <v>365</v>
      </c>
      <c r="F92">
        <v>77.900000000000006</v>
      </c>
      <c r="G92">
        <v>53.5</v>
      </c>
      <c r="I92">
        <v>4.7100000381469727</v>
      </c>
      <c r="J92">
        <v>5.547173023223877</v>
      </c>
      <c r="K92">
        <v>1</v>
      </c>
      <c r="L92" t="s">
        <v>31</v>
      </c>
      <c r="N92">
        <v>4.2599821090698242</v>
      </c>
      <c r="O92">
        <v>4.3189425468444824</v>
      </c>
      <c r="P92">
        <v>7.7760415077209473</v>
      </c>
      <c r="Q92">
        <v>7.5461940765380859</v>
      </c>
      <c r="S92">
        <v>1</v>
      </c>
      <c r="T92">
        <v>1</v>
      </c>
      <c r="U92">
        <v>1</v>
      </c>
      <c r="V92">
        <v>1</v>
      </c>
      <c r="W92" t="s">
        <v>31</v>
      </c>
      <c r="X92" t="s">
        <v>31</v>
      </c>
      <c r="Y92" t="s">
        <v>31</v>
      </c>
      <c r="Z92" t="s">
        <v>31</v>
      </c>
    </row>
    <row r="93" spans="1:26" x14ac:dyDescent="0.25">
      <c r="A93" t="s">
        <v>129</v>
      </c>
      <c r="B93" t="s">
        <v>373</v>
      </c>
      <c r="C93">
        <v>3826606900.6151924</v>
      </c>
      <c r="D93" t="s">
        <v>233</v>
      </c>
      <c r="F93">
        <v>47.9</v>
      </c>
      <c r="G93">
        <v>45.3</v>
      </c>
      <c r="I93">
        <v>3.6099998950958252</v>
      </c>
      <c r="J93">
        <v>5.2710013389587402</v>
      </c>
      <c r="K93">
        <v>0.95495498180389404</v>
      </c>
      <c r="L93" t="s">
        <v>289</v>
      </c>
      <c r="N93">
        <v>5.8662023544311523</v>
      </c>
      <c r="O93">
        <v>4.4487175941467285</v>
      </c>
      <c r="P93">
        <v>4.4763984680175781</v>
      </c>
      <c r="Q93">
        <v>6.7618317604064941</v>
      </c>
      <c r="S93">
        <v>1</v>
      </c>
      <c r="T93">
        <v>0.94949495792388916</v>
      </c>
      <c r="U93">
        <v>1</v>
      </c>
      <c r="V93">
        <v>0.90740740299224854</v>
      </c>
      <c r="W93" t="s">
        <v>31</v>
      </c>
      <c r="X93" t="s">
        <v>289</v>
      </c>
      <c r="Y93" t="s">
        <v>31</v>
      </c>
      <c r="Z93" t="s">
        <v>227</v>
      </c>
    </row>
    <row r="94" spans="1:26" x14ac:dyDescent="0.25">
      <c r="A94" t="s">
        <v>130</v>
      </c>
      <c r="B94" t="s">
        <v>374</v>
      </c>
      <c r="C94">
        <v>3757555400.7999992</v>
      </c>
      <c r="D94" t="s">
        <v>375</v>
      </c>
      <c r="F94">
        <v>16.2</v>
      </c>
      <c r="G94">
        <v>68.2</v>
      </c>
      <c r="I94">
        <v>2.4000000953674316</v>
      </c>
      <c r="J94">
        <v>6.2227606773376465</v>
      </c>
      <c r="K94">
        <v>0.93220341205596924</v>
      </c>
      <c r="L94" t="s">
        <v>225</v>
      </c>
      <c r="N94">
        <v>5.5659794807434082</v>
      </c>
      <c r="O94">
        <v>3.7580575942993164</v>
      </c>
      <c r="P94">
        <v>9.8150701522827148</v>
      </c>
      <c r="Q94">
        <v>6.955935001373291</v>
      </c>
      <c r="S94">
        <v>1</v>
      </c>
      <c r="T94">
        <v>0.90909093618392944</v>
      </c>
      <c r="U94">
        <v>1</v>
      </c>
      <c r="V94">
        <v>0.87037038803100586</v>
      </c>
      <c r="W94" t="s">
        <v>31</v>
      </c>
      <c r="X94" t="s">
        <v>227</v>
      </c>
      <c r="Y94" t="s">
        <v>31</v>
      </c>
      <c r="Z94" t="s">
        <v>220</v>
      </c>
    </row>
    <row r="95" spans="1:26" x14ac:dyDescent="0.25">
      <c r="A95" t="s">
        <v>131</v>
      </c>
      <c r="B95" t="s">
        <v>376</v>
      </c>
      <c r="C95">
        <v>3461959919.8254757</v>
      </c>
      <c r="D95" t="s">
        <v>377</v>
      </c>
      <c r="F95">
        <v>64.099999999999994</v>
      </c>
      <c r="G95">
        <v>41.2</v>
      </c>
      <c r="I95">
        <v>4.0799999237060547</v>
      </c>
      <c r="J95">
        <v>5.1834506988525391</v>
      </c>
      <c r="K95">
        <v>0.97596156597137451</v>
      </c>
      <c r="L95" t="s">
        <v>258</v>
      </c>
      <c r="N95">
        <v>4.759089469909668</v>
      </c>
      <c r="O95">
        <v>3.868269681930542</v>
      </c>
      <c r="P95">
        <v>5.4737954139709473</v>
      </c>
      <c r="Q95">
        <v>8.3302173614501953</v>
      </c>
      <c r="S95">
        <v>0.89583331346511841</v>
      </c>
      <c r="T95">
        <v>1</v>
      </c>
      <c r="U95">
        <v>1</v>
      </c>
      <c r="V95">
        <v>1</v>
      </c>
      <c r="W95" t="s">
        <v>322</v>
      </c>
      <c r="X95" t="s">
        <v>31</v>
      </c>
      <c r="Y95" t="s">
        <v>31</v>
      </c>
      <c r="Z95" t="s">
        <v>31</v>
      </c>
    </row>
    <row r="96" spans="1:26" x14ac:dyDescent="0.25">
      <c r="A96" t="s">
        <v>132</v>
      </c>
      <c r="B96" t="s">
        <v>378</v>
      </c>
      <c r="C96">
        <v>3350227831.4145136</v>
      </c>
      <c r="D96" t="s">
        <v>379</v>
      </c>
      <c r="F96">
        <v>72.900000000000006</v>
      </c>
      <c r="G96">
        <v>17.600000000000001</v>
      </c>
      <c r="I96">
        <v>4.4699997901916504</v>
      </c>
      <c r="J96">
        <v>4.3100929260253906</v>
      </c>
      <c r="K96">
        <v>0.89189189672470093</v>
      </c>
      <c r="L96" t="s">
        <v>226</v>
      </c>
      <c r="N96">
        <v>3.5167851448059082</v>
      </c>
      <c r="O96">
        <v>3.3849086761474609</v>
      </c>
      <c r="P96">
        <v>6.819554328918457</v>
      </c>
      <c r="Q96">
        <v>4.0828900337219238</v>
      </c>
      <c r="S96">
        <v>0.91935485601425171</v>
      </c>
      <c r="T96">
        <v>0.90909093618392944</v>
      </c>
      <c r="U96">
        <v>1</v>
      </c>
      <c r="V96">
        <v>0.78723406791687012</v>
      </c>
      <c r="W96" t="s">
        <v>221</v>
      </c>
      <c r="X96" t="s">
        <v>227</v>
      </c>
      <c r="Y96" t="s">
        <v>31</v>
      </c>
      <c r="Z96" t="s">
        <v>29</v>
      </c>
    </row>
    <row r="97" spans="1:26" x14ac:dyDescent="0.25">
      <c r="A97" t="s">
        <v>133</v>
      </c>
      <c r="B97" t="s">
        <v>380</v>
      </c>
      <c r="C97">
        <v>3327428123.3428736</v>
      </c>
      <c r="D97" t="s">
        <v>295</v>
      </c>
      <c r="F97">
        <v>40.6</v>
      </c>
      <c r="G97">
        <v>12.9</v>
      </c>
      <c r="I97">
        <v>3.2799999713897705</v>
      </c>
      <c r="J97">
        <v>4.0092158317565918</v>
      </c>
      <c r="K97">
        <v>0.96551722288131714</v>
      </c>
      <c r="L97" t="s">
        <v>254</v>
      </c>
      <c r="N97">
        <v>3.7638099193572998</v>
      </c>
      <c r="O97">
        <v>3.8794379234313965</v>
      </c>
      <c r="P97">
        <v>4.1800227165222168</v>
      </c>
      <c r="Q97">
        <v>4.5334992408752441</v>
      </c>
      <c r="S97">
        <v>1</v>
      </c>
      <c r="T97">
        <v>1</v>
      </c>
      <c r="U97">
        <v>1</v>
      </c>
      <c r="V97">
        <v>0.89361703395843506</v>
      </c>
      <c r="W97" t="s">
        <v>31</v>
      </c>
      <c r="X97" t="s">
        <v>31</v>
      </c>
      <c r="Y97" t="s">
        <v>31</v>
      </c>
      <c r="Z97" t="s">
        <v>226</v>
      </c>
    </row>
    <row r="98" spans="1:26" x14ac:dyDescent="0.25">
      <c r="A98" t="s">
        <v>134</v>
      </c>
      <c r="B98" t="s">
        <v>381</v>
      </c>
      <c r="C98">
        <v>3026108176.5954762</v>
      </c>
      <c r="D98" t="s">
        <v>224</v>
      </c>
      <c r="F98">
        <v>78.8</v>
      </c>
      <c r="G98">
        <v>58.2</v>
      </c>
      <c r="I98">
        <v>4.7600002288818359</v>
      </c>
      <c r="J98">
        <v>5.655057430267334</v>
      </c>
      <c r="K98">
        <v>0.84924620389938354</v>
      </c>
      <c r="L98" t="s">
        <v>66</v>
      </c>
      <c r="N98">
        <v>5.462921142578125</v>
      </c>
      <c r="O98">
        <v>3.9822511672973633</v>
      </c>
      <c r="P98">
        <v>7.086885929107666</v>
      </c>
      <c r="Q98">
        <v>6.8649835586547852</v>
      </c>
      <c r="S98">
        <v>1</v>
      </c>
      <c r="T98">
        <v>0.71014493703842163</v>
      </c>
      <c r="U98">
        <v>1</v>
      </c>
      <c r="V98">
        <v>0.81481480598449707</v>
      </c>
      <c r="W98" t="s">
        <v>31</v>
      </c>
      <c r="X98" t="s">
        <v>382</v>
      </c>
      <c r="Y98" t="s">
        <v>31</v>
      </c>
      <c r="Z98" t="s">
        <v>285</v>
      </c>
    </row>
    <row r="99" spans="1:26" x14ac:dyDescent="0.25">
      <c r="A99" t="s">
        <v>135</v>
      </c>
      <c r="B99" t="s">
        <v>383</v>
      </c>
      <c r="C99">
        <v>3023038097.0693979</v>
      </c>
      <c r="D99" t="s">
        <v>248</v>
      </c>
      <c r="F99">
        <v>60.6</v>
      </c>
      <c r="G99">
        <v>80</v>
      </c>
      <c r="I99">
        <v>4</v>
      </c>
      <c r="J99">
        <v>6.7362937927246094</v>
      </c>
      <c r="K99">
        <v>0.97572815418243408</v>
      </c>
      <c r="L99" t="s">
        <v>258</v>
      </c>
      <c r="N99">
        <v>7.871096134185791</v>
      </c>
      <c r="O99">
        <v>5.4065122604370117</v>
      </c>
      <c r="P99" t="s">
        <v>311</v>
      </c>
      <c r="Q99">
        <v>6.4972715377807617</v>
      </c>
      <c r="S99">
        <v>1</v>
      </c>
      <c r="T99">
        <v>1</v>
      </c>
      <c r="U99" t="s">
        <v>311</v>
      </c>
      <c r="V99">
        <v>0.90740740299224854</v>
      </c>
      <c r="W99" t="s">
        <v>31</v>
      </c>
      <c r="X99" t="s">
        <v>31</v>
      </c>
      <c r="Z99" t="s">
        <v>227</v>
      </c>
    </row>
    <row r="100" spans="1:26" x14ac:dyDescent="0.25">
      <c r="A100" t="s">
        <v>136</v>
      </c>
      <c r="B100" t="s">
        <v>384</v>
      </c>
      <c r="C100">
        <v>2990337359.4348588</v>
      </c>
      <c r="D100" t="s">
        <v>385</v>
      </c>
      <c r="F100">
        <v>18.5</v>
      </c>
      <c r="G100">
        <v>8.1999999999999993</v>
      </c>
      <c r="I100">
        <v>2.4700000286102295</v>
      </c>
      <c r="J100">
        <v>3.2364933490753174</v>
      </c>
      <c r="K100">
        <v>0.87943261861801147</v>
      </c>
      <c r="L100" t="s">
        <v>33</v>
      </c>
      <c r="N100">
        <v>5.4808988571166992</v>
      </c>
      <c r="O100">
        <v>1.872982382774353</v>
      </c>
      <c r="P100">
        <v>2.5448563098907471</v>
      </c>
      <c r="Q100">
        <v>2.3062107563018799</v>
      </c>
      <c r="S100">
        <v>0.91379308700561523</v>
      </c>
      <c r="T100">
        <v>1</v>
      </c>
      <c r="U100">
        <v>0.76190477609634399</v>
      </c>
      <c r="V100">
        <v>0.85106384754180908</v>
      </c>
      <c r="W100" t="s">
        <v>227</v>
      </c>
      <c r="X100" t="s">
        <v>31</v>
      </c>
      <c r="Y100" t="s">
        <v>222</v>
      </c>
      <c r="Z100" t="s">
        <v>66</v>
      </c>
    </row>
    <row r="101" spans="1:26" x14ac:dyDescent="0.25">
      <c r="A101" t="s">
        <v>137</v>
      </c>
      <c r="B101" t="s">
        <v>386</v>
      </c>
      <c r="C101">
        <v>2936568348.0589356</v>
      </c>
      <c r="D101" t="s">
        <v>243</v>
      </c>
      <c r="F101">
        <v>38.200000000000003</v>
      </c>
      <c r="G101">
        <v>2.9</v>
      </c>
      <c r="I101">
        <v>3.2000000476837158</v>
      </c>
      <c r="J101">
        <v>2.1806256771087646</v>
      </c>
      <c r="K101">
        <v>0.81343281269073486</v>
      </c>
      <c r="L101" t="s">
        <v>285</v>
      </c>
      <c r="N101">
        <v>2.8349313735961914</v>
      </c>
      <c r="O101">
        <v>0</v>
      </c>
      <c r="P101" t="s">
        <v>311</v>
      </c>
      <c r="Q101">
        <v>6.1308417320251465</v>
      </c>
      <c r="S101">
        <v>0.91935485601425171</v>
      </c>
      <c r="T101">
        <v>0.60000002384185791</v>
      </c>
      <c r="U101" t="s">
        <v>311</v>
      </c>
      <c r="V101">
        <v>0.78723406791687012</v>
      </c>
      <c r="W101" t="s">
        <v>221</v>
      </c>
      <c r="X101" t="s">
        <v>27</v>
      </c>
      <c r="Z101" t="s">
        <v>29</v>
      </c>
    </row>
    <row r="102" spans="1:26" x14ac:dyDescent="0.25">
      <c r="A102" t="s">
        <v>138</v>
      </c>
      <c r="B102" t="s">
        <v>387</v>
      </c>
      <c r="C102">
        <v>2898620309.9905868</v>
      </c>
      <c r="D102" t="s">
        <v>313</v>
      </c>
      <c r="F102">
        <v>3.5</v>
      </c>
      <c r="G102">
        <v>9.4</v>
      </c>
      <c r="I102">
        <v>1.1399999856948853</v>
      </c>
      <c r="J102">
        <v>3.279747486114502</v>
      </c>
      <c r="K102">
        <v>0.89041095972061157</v>
      </c>
      <c r="L102" t="s">
        <v>226</v>
      </c>
      <c r="N102">
        <v>4.5925693511962891</v>
      </c>
      <c r="O102">
        <v>1.1024999618530273</v>
      </c>
      <c r="P102">
        <v>2.6562669277191162</v>
      </c>
      <c r="Q102">
        <v>6.0851678848266602</v>
      </c>
      <c r="S102">
        <v>0.91666668653488159</v>
      </c>
      <c r="T102">
        <v>1</v>
      </c>
      <c r="U102">
        <v>0.57142859697341919</v>
      </c>
      <c r="V102">
        <v>0.89361703395843506</v>
      </c>
      <c r="W102" t="s">
        <v>221</v>
      </c>
      <c r="X102" t="s">
        <v>31</v>
      </c>
      <c r="Y102" t="s">
        <v>266</v>
      </c>
      <c r="Z102" t="s">
        <v>226</v>
      </c>
    </row>
    <row r="103" spans="1:26" x14ac:dyDescent="0.25">
      <c r="A103" t="s">
        <v>139</v>
      </c>
      <c r="B103" t="s">
        <v>388</v>
      </c>
      <c r="C103">
        <v>2846847294.5132127</v>
      </c>
      <c r="D103" t="s">
        <v>224</v>
      </c>
      <c r="F103">
        <v>44.1</v>
      </c>
      <c r="G103">
        <v>60.6</v>
      </c>
      <c r="I103">
        <v>3.4100000858306885</v>
      </c>
      <c r="J103">
        <v>5.8339853286743164</v>
      </c>
      <c r="K103">
        <v>0.87437188625335693</v>
      </c>
      <c r="L103" t="s">
        <v>220</v>
      </c>
      <c r="N103">
        <v>5.3370170593261719</v>
      </c>
      <c r="O103">
        <v>4.3932862281799316</v>
      </c>
      <c r="P103">
        <v>7.086885929107666</v>
      </c>
      <c r="Q103">
        <v>7.6496777534484863</v>
      </c>
      <c r="S103">
        <v>1</v>
      </c>
      <c r="T103">
        <v>0.71014493703842163</v>
      </c>
      <c r="U103">
        <v>1</v>
      </c>
      <c r="V103">
        <v>0.90740740299224854</v>
      </c>
      <c r="W103" t="s">
        <v>31</v>
      </c>
      <c r="X103" t="s">
        <v>382</v>
      </c>
      <c r="Y103" t="s">
        <v>31</v>
      </c>
      <c r="Z103" t="s">
        <v>227</v>
      </c>
    </row>
    <row r="104" spans="1:26" x14ac:dyDescent="0.25">
      <c r="A104" t="s">
        <v>140</v>
      </c>
      <c r="B104" t="s">
        <v>389</v>
      </c>
      <c r="C104">
        <v>2773013491.7916679</v>
      </c>
      <c r="D104" t="s">
        <v>370</v>
      </c>
      <c r="F104">
        <v>83.2</v>
      </c>
      <c r="G104">
        <v>43.5</v>
      </c>
      <c r="I104">
        <v>4.940000057220459</v>
      </c>
      <c r="J104">
        <v>5.2353987693786621</v>
      </c>
      <c r="K104">
        <v>1</v>
      </c>
      <c r="L104" t="s">
        <v>31</v>
      </c>
      <c r="N104">
        <v>6.5350465774536133</v>
      </c>
      <c r="O104">
        <v>4.9753007888793945</v>
      </c>
      <c r="P104">
        <v>2.7325451374053955</v>
      </c>
      <c r="Q104">
        <v>7.6537704467773438</v>
      </c>
      <c r="S104">
        <v>1</v>
      </c>
      <c r="T104">
        <v>1</v>
      </c>
      <c r="U104">
        <v>1</v>
      </c>
      <c r="V104">
        <v>1</v>
      </c>
      <c r="W104" t="s">
        <v>31</v>
      </c>
      <c r="X104" t="s">
        <v>31</v>
      </c>
      <c r="Y104" t="s">
        <v>31</v>
      </c>
      <c r="Z104" t="s">
        <v>31</v>
      </c>
    </row>
    <row r="105" spans="1:26" x14ac:dyDescent="0.25">
      <c r="A105" t="s">
        <v>141</v>
      </c>
      <c r="B105" t="s">
        <v>333</v>
      </c>
      <c r="C105">
        <v>2749329997.1854086</v>
      </c>
      <c r="D105" t="s">
        <v>219</v>
      </c>
      <c r="F105">
        <v>25.9</v>
      </c>
      <c r="G105">
        <v>22.4</v>
      </c>
      <c r="I105">
        <v>2.7599999904632568</v>
      </c>
      <c r="J105">
        <v>4.4711618423461914</v>
      </c>
      <c r="K105">
        <v>0.93788820505142212</v>
      </c>
      <c r="L105" t="s">
        <v>51</v>
      </c>
      <c r="N105">
        <v>3.6804862022399902</v>
      </c>
      <c r="O105">
        <v>4.8299465179443359</v>
      </c>
      <c r="P105">
        <v>3.4328887462615967</v>
      </c>
      <c r="Q105">
        <v>8.0372934341430664</v>
      </c>
      <c r="S105">
        <v>0.91379308700561523</v>
      </c>
      <c r="T105">
        <v>1</v>
      </c>
      <c r="U105">
        <v>0.76190477609634399</v>
      </c>
      <c r="V105">
        <v>1</v>
      </c>
      <c r="W105" t="s">
        <v>227</v>
      </c>
      <c r="X105" t="s">
        <v>31</v>
      </c>
      <c r="Y105" t="s">
        <v>222</v>
      </c>
      <c r="Z105" t="s">
        <v>31</v>
      </c>
    </row>
    <row r="106" spans="1:26" x14ac:dyDescent="0.25">
      <c r="A106" t="s">
        <v>142</v>
      </c>
      <c r="B106" t="s">
        <v>390</v>
      </c>
      <c r="C106">
        <v>2720560626.5784864</v>
      </c>
      <c r="D106" t="s">
        <v>325</v>
      </c>
      <c r="F106">
        <v>34.4</v>
      </c>
      <c r="G106">
        <v>60</v>
      </c>
      <c r="I106">
        <v>3.0899999141693115</v>
      </c>
      <c r="J106">
        <v>5.770355224609375</v>
      </c>
      <c r="K106">
        <v>0.97368419170379639</v>
      </c>
      <c r="L106" t="s">
        <v>254</v>
      </c>
      <c r="N106">
        <v>7.3480887413024902</v>
      </c>
      <c r="O106">
        <v>3.8416006565093994</v>
      </c>
      <c r="P106">
        <v>6.341820240020752</v>
      </c>
      <c r="Q106">
        <v>4.865077018737793</v>
      </c>
      <c r="S106">
        <v>1</v>
      </c>
      <c r="T106">
        <v>1</v>
      </c>
      <c r="U106">
        <v>1</v>
      </c>
      <c r="V106">
        <v>0.89361703395843506</v>
      </c>
      <c r="W106" t="s">
        <v>31</v>
      </c>
      <c r="X106" t="s">
        <v>31</v>
      </c>
      <c r="Y106" t="s">
        <v>31</v>
      </c>
      <c r="Z106" t="s">
        <v>226</v>
      </c>
    </row>
    <row r="107" spans="1:26" x14ac:dyDescent="0.25">
      <c r="A107" t="s">
        <v>143</v>
      </c>
      <c r="B107" t="s">
        <v>391</v>
      </c>
      <c r="C107">
        <v>2665880912.3194089</v>
      </c>
      <c r="D107" t="s">
        <v>392</v>
      </c>
      <c r="F107">
        <v>68.8</v>
      </c>
      <c r="G107">
        <v>65.3</v>
      </c>
      <c r="I107">
        <v>4.3299999237060547</v>
      </c>
      <c r="J107">
        <v>6.094210147857666</v>
      </c>
      <c r="K107">
        <v>0.97777777910232544</v>
      </c>
      <c r="L107" t="s">
        <v>258</v>
      </c>
      <c r="N107">
        <v>7.0729556083679199</v>
      </c>
      <c r="O107">
        <v>7.5868186950683594</v>
      </c>
      <c r="P107">
        <v>3.5890078544616699</v>
      </c>
      <c r="Q107">
        <v>6.1370711326599121</v>
      </c>
      <c r="S107">
        <v>1</v>
      </c>
      <c r="T107">
        <v>1</v>
      </c>
      <c r="U107">
        <v>1</v>
      </c>
      <c r="V107">
        <v>0.90740740299224854</v>
      </c>
      <c r="W107" t="s">
        <v>31</v>
      </c>
      <c r="X107" t="s">
        <v>31</v>
      </c>
      <c r="Y107" t="s">
        <v>31</v>
      </c>
      <c r="Z107" t="s">
        <v>227</v>
      </c>
    </row>
    <row r="108" spans="1:26" x14ac:dyDescent="0.25">
      <c r="A108" t="s">
        <v>144</v>
      </c>
      <c r="B108" t="s">
        <v>393</v>
      </c>
      <c r="C108">
        <v>2637081737.3199997</v>
      </c>
      <c r="D108" t="s">
        <v>229</v>
      </c>
      <c r="F108">
        <v>41.8</v>
      </c>
      <c r="G108">
        <v>89.4</v>
      </c>
      <c r="I108">
        <v>3.2999999523162842</v>
      </c>
      <c r="J108">
        <v>7.2920031547546387</v>
      </c>
      <c r="K108">
        <v>0.97950822114944458</v>
      </c>
      <c r="L108" t="s">
        <v>258</v>
      </c>
      <c r="N108">
        <v>6.568657398223877</v>
      </c>
      <c r="O108">
        <v>8.2139492034912109</v>
      </c>
      <c r="P108">
        <v>7.8510174751281738</v>
      </c>
      <c r="Q108">
        <v>6.6314697265625</v>
      </c>
      <c r="S108">
        <v>1</v>
      </c>
      <c r="T108">
        <v>1</v>
      </c>
      <c r="U108">
        <v>1</v>
      </c>
      <c r="V108">
        <v>0.90740740299224854</v>
      </c>
      <c r="W108" t="s">
        <v>31</v>
      </c>
      <c r="X108" t="s">
        <v>31</v>
      </c>
      <c r="Y108" t="s">
        <v>31</v>
      </c>
      <c r="Z108" t="s">
        <v>227</v>
      </c>
    </row>
    <row r="109" spans="1:26" x14ac:dyDescent="0.25">
      <c r="A109" t="s">
        <v>145</v>
      </c>
      <c r="B109" t="s">
        <v>394</v>
      </c>
      <c r="C109">
        <v>2426297710.4471602</v>
      </c>
      <c r="D109" t="s">
        <v>395</v>
      </c>
      <c r="F109">
        <v>70.900000000000006</v>
      </c>
      <c r="G109">
        <v>71.2</v>
      </c>
      <c r="I109">
        <v>4.3600001335144043</v>
      </c>
      <c r="J109">
        <v>6.3999276161193848</v>
      </c>
      <c r="K109">
        <v>0.94318181276321411</v>
      </c>
      <c r="L109" t="s">
        <v>51</v>
      </c>
      <c r="N109">
        <v>6.4853715896606445</v>
      </c>
      <c r="O109">
        <v>6.8798599243164063</v>
      </c>
      <c r="P109">
        <v>6.9140334129333496</v>
      </c>
      <c r="Q109">
        <v>4.7011146545410156</v>
      </c>
      <c r="S109">
        <v>0.91379308700561523</v>
      </c>
      <c r="T109">
        <v>1</v>
      </c>
      <c r="U109">
        <v>1</v>
      </c>
      <c r="V109">
        <v>0.89361703395843506</v>
      </c>
      <c r="W109" t="s">
        <v>227</v>
      </c>
      <c r="X109" t="s">
        <v>31</v>
      </c>
      <c r="Y109" t="s">
        <v>31</v>
      </c>
      <c r="Z109" t="s">
        <v>226</v>
      </c>
    </row>
    <row r="110" spans="1:26" x14ac:dyDescent="0.25">
      <c r="A110" t="s">
        <v>146</v>
      </c>
      <c r="B110" t="s">
        <v>396</v>
      </c>
      <c r="C110">
        <v>2367151657.3222589</v>
      </c>
      <c r="D110" t="s">
        <v>395</v>
      </c>
      <c r="F110">
        <v>89.4</v>
      </c>
      <c r="G110">
        <v>95.3</v>
      </c>
      <c r="I110">
        <v>5.3899998664855957</v>
      </c>
      <c r="J110">
        <v>7.8255019187927246</v>
      </c>
      <c r="K110">
        <v>0.97222220897674561</v>
      </c>
      <c r="L110" t="s">
        <v>254</v>
      </c>
      <c r="N110">
        <v>6.8858976364135742</v>
      </c>
      <c r="O110">
        <v>9.5909786224365234</v>
      </c>
      <c r="P110">
        <v>6.9531850814819336</v>
      </c>
      <c r="Q110">
        <v>8.7835044860839844</v>
      </c>
      <c r="S110">
        <v>0.91935485601425171</v>
      </c>
      <c r="T110">
        <v>1</v>
      </c>
      <c r="U110">
        <v>1</v>
      </c>
      <c r="V110">
        <v>1</v>
      </c>
      <c r="W110" t="s">
        <v>221</v>
      </c>
      <c r="X110" t="s">
        <v>31</v>
      </c>
      <c r="Y110" t="s">
        <v>31</v>
      </c>
      <c r="Z110" t="s">
        <v>31</v>
      </c>
    </row>
    <row r="111" spans="1:26" x14ac:dyDescent="0.25">
      <c r="A111" t="s">
        <v>147</v>
      </c>
      <c r="B111" t="s">
        <v>397</v>
      </c>
      <c r="C111">
        <v>2360676673.4792643</v>
      </c>
      <c r="D111" t="s">
        <v>224</v>
      </c>
      <c r="F111">
        <v>17.600000000000001</v>
      </c>
      <c r="G111">
        <v>18.8</v>
      </c>
      <c r="I111">
        <v>2.440000057220459</v>
      </c>
      <c r="J111">
        <v>4.4109249114990234</v>
      </c>
      <c r="K111">
        <v>0.97747749090194702</v>
      </c>
      <c r="L111" t="s">
        <v>258</v>
      </c>
      <c r="N111">
        <v>3.6786961555480957</v>
      </c>
      <c r="O111">
        <v>2.8358724117279053</v>
      </c>
      <c r="P111">
        <v>6.3924808502197266</v>
      </c>
      <c r="Q111">
        <v>6.087064266204834</v>
      </c>
      <c r="S111">
        <v>1</v>
      </c>
      <c r="T111">
        <v>1</v>
      </c>
      <c r="U111">
        <v>1</v>
      </c>
      <c r="V111">
        <v>0.90740740299224854</v>
      </c>
      <c r="W111" t="s">
        <v>31</v>
      </c>
      <c r="X111" t="s">
        <v>31</v>
      </c>
      <c r="Y111" t="s">
        <v>31</v>
      </c>
      <c r="Z111" t="s">
        <v>227</v>
      </c>
    </row>
    <row r="112" spans="1:26" x14ac:dyDescent="0.25">
      <c r="A112" t="s">
        <v>148</v>
      </c>
      <c r="B112" t="s">
        <v>398</v>
      </c>
      <c r="C112">
        <v>2324497785.4563756</v>
      </c>
      <c r="D112" t="s">
        <v>340</v>
      </c>
      <c r="F112">
        <v>32.9</v>
      </c>
      <c r="G112">
        <v>88.8</v>
      </c>
      <c r="I112">
        <v>3</v>
      </c>
      <c r="J112">
        <v>7.2377429008483887</v>
      </c>
      <c r="K112">
        <v>0.97685188055038452</v>
      </c>
      <c r="L112" t="s">
        <v>258</v>
      </c>
      <c r="N112">
        <v>6.4575395584106445</v>
      </c>
      <c r="O112">
        <v>7.407494068145752</v>
      </c>
      <c r="P112">
        <v>7.7760415077209473</v>
      </c>
      <c r="Q112">
        <v>7.9513297080993652</v>
      </c>
      <c r="S112">
        <v>1</v>
      </c>
      <c r="T112">
        <v>1</v>
      </c>
      <c r="U112">
        <v>1</v>
      </c>
      <c r="V112">
        <v>0.90740740299224854</v>
      </c>
      <c r="W112" t="s">
        <v>31</v>
      </c>
      <c r="X112" t="s">
        <v>31</v>
      </c>
      <c r="Y112" t="s">
        <v>31</v>
      </c>
      <c r="Z112" t="s">
        <v>227</v>
      </c>
    </row>
    <row r="113" spans="1:26" x14ac:dyDescent="0.25">
      <c r="A113" t="s">
        <v>149</v>
      </c>
      <c r="B113" t="s">
        <v>399</v>
      </c>
      <c r="C113">
        <v>2304188601.0532746</v>
      </c>
      <c r="D113" t="s">
        <v>260</v>
      </c>
      <c r="F113">
        <v>5.9</v>
      </c>
      <c r="G113">
        <v>59.4</v>
      </c>
      <c r="I113">
        <v>1.2699999809265137</v>
      </c>
      <c r="J113">
        <v>5.7225303649902344</v>
      </c>
      <c r="K113">
        <v>0.93023258447647095</v>
      </c>
      <c r="L113" t="s">
        <v>225</v>
      </c>
      <c r="N113">
        <v>5.3294453620910645</v>
      </c>
      <c r="O113">
        <v>6.0059318542480469</v>
      </c>
      <c r="P113">
        <v>6.0236978530883789</v>
      </c>
      <c r="Q113">
        <v>5.6925258636474609</v>
      </c>
      <c r="S113">
        <v>0.91666668653488159</v>
      </c>
      <c r="T113">
        <v>1</v>
      </c>
      <c r="U113">
        <v>0.9047619104385376</v>
      </c>
      <c r="V113">
        <v>0.89361703395843506</v>
      </c>
      <c r="W113" t="s">
        <v>221</v>
      </c>
      <c r="X113" t="s">
        <v>31</v>
      </c>
      <c r="Y113" t="s">
        <v>322</v>
      </c>
      <c r="Z113" t="s">
        <v>226</v>
      </c>
    </row>
    <row r="114" spans="1:26" x14ac:dyDescent="0.25">
      <c r="A114" t="s">
        <v>150</v>
      </c>
      <c r="B114" t="s">
        <v>400</v>
      </c>
      <c r="C114">
        <v>2068086269.5609322</v>
      </c>
      <c r="D114" t="s">
        <v>401</v>
      </c>
      <c r="F114">
        <v>47.9</v>
      </c>
      <c r="G114">
        <v>42.4</v>
      </c>
      <c r="I114">
        <v>3.6099998950958252</v>
      </c>
      <c r="J114">
        <v>5.2023649215698242</v>
      </c>
      <c r="K114">
        <v>0.93788820505142212</v>
      </c>
      <c r="L114" t="s">
        <v>51</v>
      </c>
      <c r="N114">
        <v>5.8446531295776367</v>
      </c>
      <c r="O114">
        <v>4.8510518074035645</v>
      </c>
      <c r="P114">
        <v>3.4328887462615967</v>
      </c>
      <c r="Q114">
        <v>7.7149758338928223</v>
      </c>
      <c r="S114">
        <v>0.91379308700561523</v>
      </c>
      <c r="T114">
        <v>1</v>
      </c>
      <c r="U114">
        <v>0.76190477609634399</v>
      </c>
      <c r="V114">
        <v>1</v>
      </c>
      <c r="W114" t="s">
        <v>227</v>
      </c>
      <c r="X114" t="s">
        <v>31</v>
      </c>
      <c r="Y114" t="s">
        <v>222</v>
      </c>
      <c r="Z114" t="s">
        <v>31</v>
      </c>
    </row>
    <row r="115" spans="1:26" x14ac:dyDescent="0.25">
      <c r="A115" t="s">
        <v>151</v>
      </c>
      <c r="B115" t="s">
        <v>402</v>
      </c>
      <c r="C115">
        <v>2044467618.3941474</v>
      </c>
      <c r="D115" t="s">
        <v>358</v>
      </c>
      <c r="F115">
        <v>80</v>
      </c>
      <c r="G115">
        <v>39.4</v>
      </c>
      <c r="I115">
        <v>4.7800002098083496</v>
      </c>
      <c r="J115">
        <v>5.0880498886108398</v>
      </c>
      <c r="K115">
        <v>0.97297298908233643</v>
      </c>
      <c r="L115" t="s">
        <v>254</v>
      </c>
      <c r="N115">
        <v>5.4014348983764648</v>
      </c>
      <c r="O115">
        <v>3.7848455905914307</v>
      </c>
      <c r="P115">
        <v>4.8909807205200195</v>
      </c>
      <c r="Q115">
        <v>7.1238274574279785</v>
      </c>
      <c r="S115">
        <v>1</v>
      </c>
      <c r="T115">
        <v>1</v>
      </c>
      <c r="U115">
        <v>1</v>
      </c>
      <c r="V115">
        <v>0.89361703395843506</v>
      </c>
      <c r="W115" t="s">
        <v>31</v>
      </c>
      <c r="X115" t="s">
        <v>31</v>
      </c>
      <c r="Y115" t="s">
        <v>31</v>
      </c>
      <c r="Z115" t="s">
        <v>226</v>
      </c>
    </row>
    <row r="116" spans="1:26" x14ac:dyDescent="0.25">
      <c r="A116" t="s">
        <v>152</v>
      </c>
      <c r="B116" t="s">
        <v>403</v>
      </c>
      <c r="C116">
        <v>2016727168.8683343</v>
      </c>
      <c r="D116" t="s">
        <v>235</v>
      </c>
      <c r="F116">
        <v>27.4</v>
      </c>
      <c r="G116">
        <v>36.5</v>
      </c>
      <c r="I116">
        <v>2.7899999618530273</v>
      </c>
      <c r="J116">
        <v>5.0317730903625488</v>
      </c>
      <c r="K116">
        <v>0.96598637104034424</v>
      </c>
      <c r="L116" t="s">
        <v>254</v>
      </c>
      <c r="N116">
        <v>4.9064254760742188</v>
      </c>
      <c r="O116">
        <v>1.6157662868499756</v>
      </c>
      <c r="P116">
        <v>8.0137472152709961</v>
      </c>
      <c r="Q116">
        <v>7.9836764335632324</v>
      </c>
      <c r="S116">
        <v>1</v>
      </c>
      <c r="T116">
        <v>1</v>
      </c>
      <c r="U116">
        <v>1</v>
      </c>
      <c r="V116">
        <v>0.89361703395843506</v>
      </c>
      <c r="W116" t="s">
        <v>31</v>
      </c>
      <c r="X116" t="s">
        <v>31</v>
      </c>
      <c r="Y116" t="s">
        <v>31</v>
      </c>
      <c r="Z116" t="s">
        <v>226</v>
      </c>
    </row>
    <row r="117" spans="1:26" x14ac:dyDescent="0.25">
      <c r="A117" t="s">
        <v>153</v>
      </c>
      <c r="B117" t="s">
        <v>404</v>
      </c>
      <c r="C117">
        <v>2012082222.9156692</v>
      </c>
      <c r="D117" t="s">
        <v>224</v>
      </c>
      <c r="F117">
        <v>44.7</v>
      </c>
      <c r="G117">
        <v>55.3</v>
      </c>
      <c r="I117">
        <v>3.4700000286102295</v>
      </c>
      <c r="J117">
        <v>5.6069064140319824</v>
      </c>
      <c r="K117">
        <v>0.76884424686431885</v>
      </c>
      <c r="L117" t="s">
        <v>405</v>
      </c>
      <c r="N117">
        <v>7.3486790657043457</v>
      </c>
      <c r="O117">
        <v>2.6385939121246338</v>
      </c>
      <c r="P117">
        <v>7.086885929107666</v>
      </c>
      <c r="Q117">
        <v>5.1219134330749512</v>
      </c>
      <c r="S117">
        <v>1</v>
      </c>
      <c r="T117">
        <v>0.57971012592315674</v>
      </c>
      <c r="U117">
        <v>1</v>
      </c>
      <c r="V117">
        <v>0.68518519401550293</v>
      </c>
      <c r="W117" t="s">
        <v>31</v>
      </c>
      <c r="X117" t="s">
        <v>284</v>
      </c>
      <c r="Y117" t="s">
        <v>31</v>
      </c>
      <c r="Z117" t="s">
        <v>406</v>
      </c>
    </row>
    <row r="118" spans="1:26" x14ac:dyDescent="0.25">
      <c r="A118" t="s">
        <v>154</v>
      </c>
      <c r="B118" t="s">
        <v>407</v>
      </c>
      <c r="C118">
        <v>1925016210.4444993</v>
      </c>
      <c r="D118" t="s">
        <v>340</v>
      </c>
      <c r="F118">
        <v>5.3</v>
      </c>
      <c r="G118">
        <v>25.9</v>
      </c>
      <c r="I118">
        <v>1.2599999904632568</v>
      </c>
      <c r="J118">
        <v>4.5954828262329102</v>
      </c>
      <c r="K118">
        <v>0.91203701496124268</v>
      </c>
      <c r="L118" t="s">
        <v>227</v>
      </c>
      <c r="N118">
        <v>3.200589656829834</v>
      </c>
      <c r="O118">
        <v>7.1027617454528809</v>
      </c>
      <c r="P118">
        <v>4.6800341606140137</v>
      </c>
      <c r="Q118">
        <v>4.1721491813659668</v>
      </c>
      <c r="S118">
        <v>1</v>
      </c>
      <c r="T118">
        <v>1</v>
      </c>
      <c r="U118">
        <v>0.8571428656578064</v>
      </c>
      <c r="V118">
        <v>0.68518519401550293</v>
      </c>
      <c r="W118" t="s">
        <v>31</v>
      </c>
      <c r="X118" t="s">
        <v>31</v>
      </c>
      <c r="Y118" t="s">
        <v>255</v>
      </c>
      <c r="Z118" t="s">
        <v>406</v>
      </c>
    </row>
    <row r="119" spans="1:26" x14ac:dyDescent="0.25">
      <c r="A119" t="s">
        <v>155</v>
      </c>
      <c r="B119" t="s">
        <v>408</v>
      </c>
      <c r="C119">
        <v>1911576154.983531</v>
      </c>
      <c r="D119" t="s">
        <v>409</v>
      </c>
      <c r="F119">
        <v>45.6</v>
      </c>
      <c r="G119">
        <v>28.8</v>
      </c>
      <c r="I119">
        <v>3.4900000095367432</v>
      </c>
      <c r="J119">
        <v>4.6431784629821777</v>
      </c>
      <c r="K119">
        <v>0.95454543828964233</v>
      </c>
      <c r="L119" t="s">
        <v>289</v>
      </c>
      <c r="N119">
        <v>4.3399014472961426</v>
      </c>
      <c r="O119">
        <v>6.8866820335388184</v>
      </c>
      <c r="P119">
        <v>3.5078771114349365</v>
      </c>
      <c r="Q119">
        <v>3.9633088111877441</v>
      </c>
      <c r="S119">
        <v>1</v>
      </c>
      <c r="T119">
        <v>1</v>
      </c>
      <c r="U119">
        <v>1</v>
      </c>
      <c r="V119">
        <v>0.78723406791687012</v>
      </c>
      <c r="W119" t="s">
        <v>31</v>
      </c>
      <c r="X119" t="s">
        <v>31</v>
      </c>
      <c r="Y119" t="s">
        <v>31</v>
      </c>
      <c r="Z119" t="s">
        <v>29</v>
      </c>
    </row>
    <row r="120" spans="1:26" x14ac:dyDescent="0.25">
      <c r="A120" t="s">
        <v>156</v>
      </c>
      <c r="B120" t="s">
        <v>410</v>
      </c>
      <c r="C120">
        <v>1873435120.8168547</v>
      </c>
      <c r="D120" t="s">
        <v>280</v>
      </c>
      <c r="F120">
        <v>74.400000000000006</v>
      </c>
      <c r="G120">
        <v>94.1</v>
      </c>
      <c r="I120">
        <v>4.570000171661377</v>
      </c>
      <c r="J120">
        <v>7.7454686164855957</v>
      </c>
      <c r="K120">
        <v>1</v>
      </c>
      <c r="L120" t="s">
        <v>31</v>
      </c>
      <c r="N120">
        <v>7.4340219497680664</v>
      </c>
      <c r="O120">
        <v>8.9833002090454102</v>
      </c>
      <c r="P120">
        <v>6.6710472106933594</v>
      </c>
      <c r="Q120">
        <v>8.3386993408203125</v>
      </c>
      <c r="S120">
        <v>1</v>
      </c>
      <c r="T120">
        <v>1</v>
      </c>
      <c r="U120">
        <v>1</v>
      </c>
      <c r="V120">
        <v>1</v>
      </c>
      <c r="W120" t="s">
        <v>31</v>
      </c>
      <c r="X120" t="s">
        <v>31</v>
      </c>
      <c r="Y120" t="s">
        <v>31</v>
      </c>
      <c r="Z120" t="s">
        <v>31</v>
      </c>
    </row>
    <row r="121" spans="1:26" x14ac:dyDescent="0.25">
      <c r="A121" t="s">
        <v>157</v>
      </c>
      <c r="B121" t="s">
        <v>411</v>
      </c>
      <c r="C121">
        <v>1830993521.9028413</v>
      </c>
      <c r="D121" t="s">
        <v>278</v>
      </c>
      <c r="F121">
        <v>46.5</v>
      </c>
      <c r="G121">
        <v>97.1</v>
      </c>
      <c r="I121">
        <v>3.5299999713897705</v>
      </c>
      <c r="J121">
        <v>7.8930110931396484</v>
      </c>
      <c r="K121">
        <v>1</v>
      </c>
      <c r="L121" t="s">
        <v>31</v>
      </c>
      <c r="N121">
        <v>8.137420654296875</v>
      </c>
      <c r="O121">
        <v>6.9283895492553711</v>
      </c>
      <c r="P121">
        <v>7.344088077545166</v>
      </c>
      <c r="Q121">
        <v>9.9983615875244141</v>
      </c>
      <c r="S121">
        <v>1</v>
      </c>
      <c r="T121">
        <v>1</v>
      </c>
      <c r="U121">
        <v>1</v>
      </c>
      <c r="V121">
        <v>1</v>
      </c>
      <c r="W121" t="s">
        <v>31</v>
      </c>
      <c r="X121" t="s">
        <v>31</v>
      </c>
      <c r="Y121" t="s">
        <v>31</v>
      </c>
      <c r="Z121" t="s">
        <v>31</v>
      </c>
    </row>
    <row r="122" spans="1:26" x14ac:dyDescent="0.25">
      <c r="A122" t="s">
        <v>158</v>
      </c>
      <c r="B122" t="s">
        <v>412</v>
      </c>
      <c r="C122">
        <v>1655697000</v>
      </c>
      <c r="D122" t="s">
        <v>413</v>
      </c>
      <c r="F122">
        <v>42.9</v>
      </c>
      <c r="G122">
        <v>19.399999999999999</v>
      </c>
      <c r="I122">
        <v>3.3900001049041748</v>
      </c>
      <c r="J122">
        <v>4.4209976196289063</v>
      </c>
      <c r="K122">
        <v>1</v>
      </c>
      <c r="L122" t="s">
        <v>31</v>
      </c>
      <c r="N122">
        <v>4.0144758224487305</v>
      </c>
      <c r="O122">
        <v>6.6983981132507324</v>
      </c>
      <c r="P122">
        <v>1.1782176494598389</v>
      </c>
      <c r="Q122">
        <v>9.2649087905883789</v>
      </c>
      <c r="S122">
        <v>1</v>
      </c>
      <c r="T122">
        <v>1</v>
      </c>
      <c r="U122">
        <v>1</v>
      </c>
      <c r="V122">
        <v>1</v>
      </c>
      <c r="W122" t="s">
        <v>31</v>
      </c>
      <c r="X122" t="s">
        <v>31</v>
      </c>
      <c r="Y122" t="s">
        <v>31</v>
      </c>
      <c r="Z122" t="s">
        <v>31</v>
      </c>
    </row>
    <row r="123" spans="1:26" x14ac:dyDescent="0.25">
      <c r="A123" t="s">
        <v>159</v>
      </c>
      <c r="B123" t="s">
        <v>414</v>
      </c>
      <c r="C123">
        <v>1630702563.0891333</v>
      </c>
      <c r="D123" t="s">
        <v>370</v>
      </c>
      <c r="F123">
        <v>35.299999999999997</v>
      </c>
      <c r="G123">
        <v>77.099999999999994</v>
      </c>
      <c r="I123">
        <v>3.0999999046325684</v>
      </c>
      <c r="J123">
        <v>6.5553388595581055</v>
      </c>
      <c r="K123">
        <v>1</v>
      </c>
      <c r="L123" t="s">
        <v>31</v>
      </c>
      <c r="N123">
        <v>5.5647110939025879</v>
      </c>
      <c r="O123">
        <v>6.7925739288330078</v>
      </c>
      <c r="P123">
        <v>6.4769339561462402</v>
      </c>
      <c r="Q123">
        <v>8.8181381225585938</v>
      </c>
      <c r="S123">
        <v>1</v>
      </c>
      <c r="T123">
        <v>1</v>
      </c>
      <c r="U123">
        <v>1</v>
      </c>
      <c r="V123">
        <v>1</v>
      </c>
      <c r="W123" t="s">
        <v>31</v>
      </c>
      <c r="X123" t="s">
        <v>31</v>
      </c>
      <c r="Y123" t="s">
        <v>31</v>
      </c>
      <c r="Z123" t="s">
        <v>31</v>
      </c>
    </row>
    <row r="124" spans="1:26" x14ac:dyDescent="0.25">
      <c r="A124" t="s">
        <v>160</v>
      </c>
      <c r="B124" t="s">
        <v>415</v>
      </c>
      <c r="C124">
        <v>1559641516.9393938</v>
      </c>
      <c r="D124" t="s">
        <v>310</v>
      </c>
      <c r="F124">
        <v>72.400000000000006</v>
      </c>
      <c r="G124">
        <v>62.4</v>
      </c>
      <c r="I124">
        <v>4.4099998474121094</v>
      </c>
      <c r="J124">
        <v>5.9547858238220215</v>
      </c>
      <c r="K124">
        <v>0.97326201200485229</v>
      </c>
      <c r="L124" t="s">
        <v>254</v>
      </c>
      <c r="N124">
        <v>7.9900245666503906</v>
      </c>
      <c r="O124">
        <v>3.5847160816192627</v>
      </c>
      <c r="P124">
        <v>6.3562812805175781</v>
      </c>
      <c r="Q124">
        <v>5.226778507232666</v>
      </c>
      <c r="S124">
        <v>1</v>
      </c>
      <c r="T124">
        <v>1</v>
      </c>
      <c r="U124">
        <v>1</v>
      </c>
      <c r="V124">
        <v>0.90740740299224854</v>
      </c>
      <c r="W124" t="s">
        <v>31</v>
      </c>
      <c r="X124" t="s">
        <v>31</v>
      </c>
      <c r="Y124" t="s">
        <v>31</v>
      </c>
      <c r="Z124" t="s">
        <v>227</v>
      </c>
    </row>
    <row r="125" spans="1:26" x14ac:dyDescent="0.25">
      <c r="A125" t="s">
        <v>161</v>
      </c>
      <c r="B125" t="s">
        <v>416</v>
      </c>
      <c r="C125">
        <v>1508303944.6133516</v>
      </c>
      <c r="D125" t="s">
        <v>243</v>
      </c>
      <c r="F125">
        <v>37.1</v>
      </c>
      <c r="G125">
        <v>5.9</v>
      </c>
      <c r="I125">
        <v>3.1700000762939453</v>
      </c>
      <c r="J125">
        <v>2.7681922912597656</v>
      </c>
      <c r="K125">
        <v>0.82905983924865723</v>
      </c>
      <c r="L125" t="s">
        <v>355</v>
      </c>
      <c r="N125">
        <v>2.3711292743682861</v>
      </c>
      <c r="O125">
        <v>1.872982382774353</v>
      </c>
      <c r="P125" t="s">
        <v>311</v>
      </c>
      <c r="Q125">
        <v>5.7101144790649414</v>
      </c>
      <c r="S125">
        <v>0.90909093618392944</v>
      </c>
      <c r="T125">
        <v>1</v>
      </c>
      <c r="U125" t="s">
        <v>311</v>
      </c>
      <c r="V125">
        <v>0.6808510422706604</v>
      </c>
      <c r="W125" t="s">
        <v>227</v>
      </c>
      <c r="X125" t="s">
        <v>31</v>
      </c>
      <c r="Z125" t="s">
        <v>323</v>
      </c>
    </row>
    <row r="126" spans="1:26" x14ac:dyDescent="0.25">
      <c r="A126" t="s">
        <v>162</v>
      </c>
      <c r="B126" t="s">
        <v>417</v>
      </c>
      <c r="C126">
        <v>1492227138.7705545</v>
      </c>
      <c r="D126" t="s">
        <v>365</v>
      </c>
      <c r="F126">
        <v>94.1</v>
      </c>
      <c r="G126">
        <v>64.099999999999994</v>
      </c>
      <c r="I126">
        <v>5.7100000381469727</v>
      </c>
      <c r="J126">
        <v>6.061464786529541</v>
      </c>
      <c r="K126">
        <v>0.96835440397262573</v>
      </c>
      <c r="L126" t="s">
        <v>254</v>
      </c>
      <c r="N126">
        <v>6.5889077186584473</v>
      </c>
      <c r="O126">
        <v>2.905632495880127</v>
      </c>
      <c r="P126">
        <v>8.3668365478515625</v>
      </c>
      <c r="Q126">
        <v>7.3517627716064453</v>
      </c>
      <c r="S126">
        <v>1</v>
      </c>
      <c r="T126">
        <v>1</v>
      </c>
      <c r="U126">
        <v>1</v>
      </c>
      <c r="V126">
        <v>0.89361703395843506</v>
      </c>
      <c r="W126" t="s">
        <v>31</v>
      </c>
      <c r="X126" t="s">
        <v>31</v>
      </c>
      <c r="Y126" t="s">
        <v>31</v>
      </c>
      <c r="Z126" t="s">
        <v>226</v>
      </c>
    </row>
    <row r="127" spans="1:26" x14ac:dyDescent="0.25">
      <c r="A127" t="s">
        <v>163</v>
      </c>
      <c r="B127" t="s">
        <v>418</v>
      </c>
      <c r="C127">
        <v>1470618078.4856825</v>
      </c>
      <c r="D127" t="s">
        <v>419</v>
      </c>
      <c r="F127">
        <v>54.1</v>
      </c>
      <c r="G127">
        <v>37.1</v>
      </c>
      <c r="I127">
        <v>3.7999999523162842</v>
      </c>
      <c r="J127">
        <v>5.0499072074890137</v>
      </c>
      <c r="K127">
        <v>0.93442624807357788</v>
      </c>
      <c r="L127" t="s">
        <v>225</v>
      </c>
      <c r="N127">
        <v>7.4165301322937012</v>
      </c>
      <c r="O127">
        <v>3.2156624794006348</v>
      </c>
      <c r="P127">
        <v>3.4483025074005127</v>
      </c>
      <c r="Q127">
        <v>6.2144451141357422</v>
      </c>
      <c r="S127">
        <v>1</v>
      </c>
      <c r="T127">
        <v>1</v>
      </c>
      <c r="U127">
        <v>0.76190477609634399</v>
      </c>
      <c r="V127">
        <v>0.87037038803100586</v>
      </c>
      <c r="W127" t="s">
        <v>31</v>
      </c>
      <c r="X127" t="s">
        <v>31</v>
      </c>
      <c r="Y127" t="s">
        <v>222</v>
      </c>
      <c r="Z127" t="s">
        <v>220</v>
      </c>
    </row>
    <row r="128" spans="1:26" x14ac:dyDescent="0.25">
      <c r="A128" t="s">
        <v>164</v>
      </c>
      <c r="B128" t="s">
        <v>420</v>
      </c>
      <c r="C128">
        <v>1406542716.1938887</v>
      </c>
      <c r="D128" t="s">
        <v>248</v>
      </c>
      <c r="F128">
        <v>95.3</v>
      </c>
      <c r="G128">
        <v>68.8</v>
      </c>
      <c r="I128">
        <v>5.75</v>
      </c>
      <c r="J128">
        <v>6.2758598327636719</v>
      </c>
      <c r="K128">
        <v>0.97326201200485229</v>
      </c>
      <c r="L128" t="s">
        <v>254</v>
      </c>
      <c r="N128">
        <v>7.5644421577453613</v>
      </c>
      <c r="O128">
        <v>5.5083990097045898</v>
      </c>
      <c r="P128">
        <v>5.9273371696472168</v>
      </c>
      <c r="Q128">
        <v>5.3301262855529785</v>
      </c>
      <c r="S128">
        <v>1</v>
      </c>
      <c r="T128">
        <v>1</v>
      </c>
      <c r="U128">
        <v>1</v>
      </c>
      <c r="V128">
        <v>0.90740740299224854</v>
      </c>
      <c r="W128" t="s">
        <v>31</v>
      </c>
      <c r="X128" t="s">
        <v>31</v>
      </c>
      <c r="Y128" t="s">
        <v>31</v>
      </c>
      <c r="Z128" t="s">
        <v>227</v>
      </c>
    </row>
    <row r="129" spans="1:26" x14ac:dyDescent="0.25">
      <c r="A129" t="s">
        <v>165</v>
      </c>
      <c r="B129" t="s">
        <v>421</v>
      </c>
      <c r="C129">
        <v>1308837427.7822013</v>
      </c>
      <c r="D129" t="s">
        <v>224</v>
      </c>
      <c r="F129">
        <v>37.6</v>
      </c>
      <c r="G129">
        <v>52.4</v>
      </c>
      <c r="I129">
        <v>3.190000057220459</v>
      </c>
      <c r="J129">
        <v>5.5245709419250488</v>
      </c>
      <c r="K129">
        <v>1</v>
      </c>
      <c r="L129" t="s">
        <v>31</v>
      </c>
      <c r="N129">
        <v>5.8793249130249023</v>
      </c>
      <c r="O129">
        <v>4.1722640991210938</v>
      </c>
      <c r="P129">
        <v>5.6151566505432129</v>
      </c>
      <c r="Q129">
        <v>6.9995126724243164</v>
      </c>
      <c r="S129">
        <v>1</v>
      </c>
      <c r="T129">
        <v>1</v>
      </c>
      <c r="U129">
        <v>1</v>
      </c>
      <c r="V129">
        <v>1</v>
      </c>
      <c r="W129" t="s">
        <v>31</v>
      </c>
      <c r="X129" t="s">
        <v>31</v>
      </c>
      <c r="Y129" t="s">
        <v>31</v>
      </c>
      <c r="Z129" t="s">
        <v>31</v>
      </c>
    </row>
    <row r="130" spans="1:26" x14ac:dyDescent="0.25">
      <c r="A130" t="s">
        <v>166</v>
      </c>
      <c r="B130" t="s">
        <v>422</v>
      </c>
      <c r="C130">
        <v>1281809568.1108549</v>
      </c>
      <c r="D130" t="s">
        <v>423</v>
      </c>
      <c r="F130">
        <v>23.5</v>
      </c>
      <c r="G130">
        <v>8.8000000000000007</v>
      </c>
      <c r="I130">
        <v>2.6500000953674316</v>
      </c>
      <c r="J130">
        <v>3.2532260417938232</v>
      </c>
      <c r="K130">
        <v>0.8263888955116272</v>
      </c>
      <c r="L130" t="s">
        <v>355</v>
      </c>
      <c r="N130">
        <v>2.2619860172271729</v>
      </c>
      <c r="O130">
        <v>1.4794999361038208</v>
      </c>
      <c r="P130">
        <v>5.9608311653137207</v>
      </c>
      <c r="Q130">
        <v>5.2990579605102539</v>
      </c>
      <c r="S130">
        <v>0.91379308700561523</v>
      </c>
      <c r="T130">
        <v>0.60000002384185791</v>
      </c>
      <c r="U130">
        <v>1</v>
      </c>
      <c r="V130">
        <v>0.78723406791687012</v>
      </c>
      <c r="W130" t="s">
        <v>227</v>
      </c>
      <c r="X130" t="s">
        <v>27</v>
      </c>
      <c r="Y130" t="s">
        <v>31</v>
      </c>
      <c r="Z130" t="s">
        <v>29</v>
      </c>
    </row>
    <row r="131" spans="1:26" x14ac:dyDescent="0.25">
      <c r="A131" t="s">
        <v>167</v>
      </c>
      <c r="B131" t="s">
        <v>424</v>
      </c>
      <c r="C131">
        <v>1245536344.0999999</v>
      </c>
      <c r="D131" t="s">
        <v>229</v>
      </c>
      <c r="F131">
        <v>9.4</v>
      </c>
      <c r="G131">
        <v>34.700000000000003</v>
      </c>
      <c r="I131">
        <v>1.3999999761581421</v>
      </c>
      <c r="J131">
        <v>5.0123367309570313</v>
      </c>
      <c r="K131">
        <v>0.97107440233230591</v>
      </c>
      <c r="L131" t="s">
        <v>254</v>
      </c>
      <c r="N131">
        <v>2.6693313121795654</v>
      </c>
      <c r="O131">
        <v>6.7694568634033203</v>
      </c>
      <c r="P131">
        <v>5.8151588439941406</v>
      </c>
      <c r="Q131">
        <v>7.290043830871582</v>
      </c>
      <c r="S131">
        <v>1</v>
      </c>
      <c r="T131">
        <v>1</v>
      </c>
      <c r="U131">
        <v>1</v>
      </c>
      <c r="V131">
        <v>0.87037038803100586</v>
      </c>
      <c r="W131" t="s">
        <v>31</v>
      </c>
      <c r="X131" t="s">
        <v>31</v>
      </c>
      <c r="Y131" t="s">
        <v>31</v>
      </c>
      <c r="Z131" t="s">
        <v>220</v>
      </c>
    </row>
    <row r="132" spans="1:26" x14ac:dyDescent="0.25">
      <c r="A132" t="s">
        <v>168</v>
      </c>
      <c r="B132" t="s">
        <v>425</v>
      </c>
      <c r="C132">
        <v>1168274476.2709806</v>
      </c>
      <c r="D132" t="s">
        <v>260</v>
      </c>
      <c r="F132">
        <v>12.1</v>
      </c>
      <c r="G132">
        <v>73.5</v>
      </c>
      <c r="I132">
        <v>2.0499999523162842</v>
      </c>
      <c r="J132">
        <v>6.4589190483093262</v>
      </c>
      <c r="K132">
        <v>0.9553571343421936</v>
      </c>
      <c r="L132" t="s">
        <v>288</v>
      </c>
      <c r="N132">
        <v>5.91424560546875</v>
      </c>
      <c r="O132">
        <v>7.4991679191589355</v>
      </c>
      <c r="P132">
        <v>6.4045577049255371</v>
      </c>
      <c r="Q132">
        <v>6.1768379211425781</v>
      </c>
      <c r="S132">
        <v>0.91935485601425171</v>
      </c>
      <c r="T132">
        <v>1</v>
      </c>
      <c r="U132">
        <v>1</v>
      </c>
      <c r="V132">
        <v>0.89361703395843506</v>
      </c>
      <c r="W132" t="s">
        <v>221</v>
      </c>
      <c r="X132" t="s">
        <v>31</v>
      </c>
      <c r="Y132" t="s">
        <v>31</v>
      </c>
      <c r="Z132" t="s">
        <v>226</v>
      </c>
    </row>
    <row r="133" spans="1:26" x14ac:dyDescent="0.25">
      <c r="A133" t="s">
        <v>169</v>
      </c>
      <c r="B133" t="s">
        <v>426</v>
      </c>
      <c r="C133">
        <v>1156866205.51596</v>
      </c>
      <c r="D133" t="s">
        <v>235</v>
      </c>
      <c r="F133">
        <v>6.5</v>
      </c>
      <c r="G133">
        <v>15.3</v>
      </c>
      <c r="I133">
        <v>1.2799999713897705</v>
      </c>
      <c r="J133">
        <v>4.2004666328430176</v>
      </c>
      <c r="K133">
        <v>1</v>
      </c>
      <c r="L133" t="s">
        <v>31</v>
      </c>
      <c r="N133">
        <v>4.6747865676879883</v>
      </c>
      <c r="O133">
        <v>0</v>
      </c>
      <c r="P133">
        <v>8.1461677551269531</v>
      </c>
      <c r="Q133">
        <v>7.5836186408996582</v>
      </c>
      <c r="S133">
        <v>1</v>
      </c>
      <c r="T133">
        <v>1</v>
      </c>
      <c r="U133">
        <v>1</v>
      </c>
      <c r="V133">
        <v>1</v>
      </c>
      <c r="W133" t="s">
        <v>31</v>
      </c>
      <c r="X133" t="s">
        <v>31</v>
      </c>
      <c r="Y133" t="s">
        <v>31</v>
      </c>
      <c r="Z133" t="s">
        <v>31</v>
      </c>
    </row>
    <row r="134" spans="1:26" x14ac:dyDescent="0.25">
      <c r="A134" t="s">
        <v>170</v>
      </c>
      <c r="B134" t="s">
        <v>427</v>
      </c>
      <c r="C134">
        <v>1036583180.0532371</v>
      </c>
      <c r="D134" t="s">
        <v>260</v>
      </c>
      <c r="F134">
        <v>18.5</v>
      </c>
      <c r="G134">
        <v>51.2</v>
      </c>
      <c r="I134">
        <v>2.4700000286102295</v>
      </c>
      <c r="J134">
        <v>5.4096612930297852</v>
      </c>
      <c r="K134">
        <v>0.84716159105300903</v>
      </c>
      <c r="L134" t="s">
        <v>66</v>
      </c>
      <c r="N134">
        <v>3.987421989440918</v>
      </c>
      <c r="O134">
        <v>5.566838264465332</v>
      </c>
      <c r="P134">
        <v>8.2908992767333984</v>
      </c>
      <c r="Q134">
        <v>4.3839621543884277</v>
      </c>
      <c r="S134">
        <v>0.83870965242385864</v>
      </c>
      <c r="T134">
        <v>0.89898991584777832</v>
      </c>
      <c r="U134">
        <v>1</v>
      </c>
      <c r="V134">
        <v>0.6808510422706604</v>
      </c>
      <c r="W134" t="s">
        <v>428</v>
      </c>
      <c r="X134" t="s">
        <v>322</v>
      </c>
      <c r="Y134" t="s">
        <v>31</v>
      </c>
      <c r="Z134" t="s">
        <v>323</v>
      </c>
    </row>
    <row r="135" spans="1:26" x14ac:dyDescent="0.25">
      <c r="A135" t="s">
        <v>173</v>
      </c>
      <c r="B135" t="s">
        <v>429</v>
      </c>
      <c r="C135">
        <v>1017579012.8399997</v>
      </c>
      <c r="D135" t="s">
        <v>229</v>
      </c>
      <c r="F135">
        <v>12.1</v>
      </c>
      <c r="G135">
        <v>85.3</v>
      </c>
      <c r="I135">
        <v>2.0499999523162842</v>
      </c>
      <c r="J135">
        <v>7.1127386093139648</v>
      </c>
      <c r="K135">
        <v>1</v>
      </c>
      <c r="L135" t="s">
        <v>31</v>
      </c>
      <c r="N135">
        <v>6.4489259719848633</v>
      </c>
      <c r="O135">
        <v>5.7651839256286621</v>
      </c>
      <c r="P135">
        <v>8.413090705871582</v>
      </c>
      <c r="Q135">
        <v>9.0431070327758789</v>
      </c>
      <c r="S135">
        <v>1</v>
      </c>
      <c r="T135">
        <v>1</v>
      </c>
      <c r="U135">
        <v>1</v>
      </c>
      <c r="V135">
        <v>1</v>
      </c>
      <c r="W135" t="s">
        <v>31</v>
      </c>
      <c r="X135" t="s">
        <v>31</v>
      </c>
      <c r="Y135" t="s">
        <v>31</v>
      </c>
      <c r="Z135" t="s">
        <v>31</v>
      </c>
    </row>
    <row r="136" spans="1:26" x14ac:dyDescent="0.25">
      <c r="A136" t="s">
        <v>174</v>
      </c>
      <c r="B136" t="s">
        <v>430</v>
      </c>
      <c r="C136">
        <v>990186418.96090972</v>
      </c>
      <c r="D136" t="s">
        <v>431</v>
      </c>
      <c r="F136">
        <v>90.6</v>
      </c>
      <c r="G136">
        <v>69.400000000000006</v>
      </c>
      <c r="I136">
        <v>5.4499998092651367</v>
      </c>
      <c r="J136">
        <v>6.375732421875</v>
      </c>
      <c r="K136">
        <v>1</v>
      </c>
      <c r="L136" t="s">
        <v>31</v>
      </c>
      <c r="N136">
        <v>7.2057070732116699</v>
      </c>
      <c r="O136">
        <v>7.1105995178222656</v>
      </c>
      <c r="P136">
        <v>3.5604009628295898</v>
      </c>
      <c r="Q136">
        <v>8.675938606262207</v>
      </c>
      <c r="S136">
        <v>1</v>
      </c>
      <c r="T136">
        <v>1</v>
      </c>
      <c r="U136">
        <v>1</v>
      </c>
      <c r="V136">
        <v>1</v>
      </c>
      <c r="W136" t="s">
        <v>31</v>
      </c>
      <c r="X136" t="s">
        <v>31</v>
      </c>
      <c r="Y136" t="s">
        <v>31</v>
      </c>
      <c r="Z136" t="s">
        <v>31</v>
      </c>
    </row>
    <row r="137" spans="1:26" x14ac:dyDescent="0.25">
      <c r="A137" t="s">
        <v>175</v>
      </c>
      <c r="B137" t="s">
        <v>432</v>
      </c>
      <c r="C137">
        <v>960192331.80902863</v>
      </c>
      <c r="D137" t="s">
        <v>433</v>
      </c>
      <c r="F137">
        <v>25.3</v>
      </c>
      <c r="G137">
        <v>57.1</v>
      </c>
      <c r="I137">
        <v>2.75</v>
      </c>
      <c r="J137">
        <v>5.6372923851013184</v>
      </c>
      <c r="K137">
        <v>0.96774190664291382</v>
      </c>
      <c r="L137" t="s">
        <v>254</v>
      </c>
      <c r="N137">
        <v>5.9929513931274414</v>
      </c>
      <c r="O137">
        <v>5.1495180130004883</v>
      </c>
      <c r="P137">
        <v>6.163905143737793</v>
      </c>
      <c r="Q137">
        <v>4.8196148872375488</v>
      </c>
      <c r="S137">
        <v>1</v>
      </c>
      <c r="T137">
        <v>1</v>
      </c>
      <c r="U137">
        <v>1</v>
      </c>
      <c r="V137">
        <v>0.89361703395843506</v>
      </c>
      <c r="W137" t="s">
        <v>31</v>
      </c>
      <c r="X137" t="s">
        <v>31</v>
      </c>
      <c r="Y137" t="s">
        <v>31</v>
      </c>
      <c r="Z137" t="s">
        <v>226</v>
      </c>
    </row>
    <row r="138" spans="1:26" x14ac:dyDescent="0.25">
      <c r="A138" t="s">
        <v>176</v>
      </c>
      <c r="B138" t="s">
        <v>434</v>
      </c>
      <c r="C138">
        <v>893571058.91487551</v>
      </c>
      <c r="D138" t="s">
        <v>435</v>
      </c>
      <c r="F138">
        <v>73.5</v>
      </c>
      <c r="G138">
        <v>87.1</v>
      </c>
      <c r="I138">
        <v>4.5100002288818359</v>
      </c>
      <c r="J138">
        <v>7.1464371681213379</v>
      </c>
      <c r="K138">
        <v>1</v>
      </c>
      <c r="L138" t="s">
        <v>31</v>
      </c>
      <c r="N138">
        <v>8.8985910415649414</v>
      </c>
      <c r="O138">
        <v>6.982302188873291</v>
      </c>
      <c r="P138">
        <v>5.0674409866333008</v>
      </c>
      <c r="Q138">
        <v>7.2404398918151855</v>
      </c>
      <c r="S138">
        <v>1</v>
      </c>
      <c r="T138">
        <v>1</v>
      </c>
      <c r="U138">
        <v>1</v>
      </c>
      <c r="V138">
        <v>1</v>
      </c>
      <c r="W138" t="s">
        <v>31</v>
      </c>
      <c r="X138" t="s">
        <v>31</v>
      </c>
      <c r="Y138" t="s">
        <v>31</v>
      </c>
      <c r="Z138" t="s">
        <v>31</v>
      </c>
    </row>
    <row r="139" spans="1:26" x14ac:dyDescent="0.25">
      <c r="A139" t="s">
        <v>177</v>
      </c>
      <c r="B139" t="s">
        <v>436</v>
      </c>
      <c r="C139">
        <v>868204984.74462628</v>
      </c>
      <c r="D139" t="s">
        <v>237</v>
      </c>
      <c r="F139" t="s">
        <v>238</v>
      </c>
      <c r="G139" t="s">
        <v>238</v>
      </c>
      <c r="I139" t="s">
        <v>238</v>
      </c>
      <c r="J139" t="s">
        <v>238</v>
      </c>
      <c r="K139" t="s">
        <v>238</v>
      </c>
      <c r="N139" t="s">
        <v>238</v>
      </c>
      <c r="O139" t="s">
        <v>238</v>
      </c>
      <c r="P139" t="s">
        <v>238</v>
      </c>
      <c r="Q139" t="s">
        <v>238</v>
      </c>
      <c r="S139" t="s">
        <v>238</v>
      </c>
      <c r="T139" t="s">
        <v>238</v>
      </c>
      <c r="U139" t="s">
        <v>238</v>
      </c>
      <c r="V139" t="s">
        <v>238</v>
      </c>
    </row>
    <row r="140" spans="1:26" x14ac:dyDescent="0.25">
      <c r="A140" t="s">
        <v>178</v>
      </c>
      <c r="B140" t="s">
        <v>437</v>
      </c>
      <c r="C140">
        <v>845761875.05957997</v>
      </c>
      <c r="D140" t="s">
        <v>219</v>
      </c>
      <c r="F140">
        <v>2.4</v>
      </c>
      <c r="G140">
        <v>11.8</v>
      </c>
      <c r="I140">
        <v>1.1100000143051147</v>
      </c>
      <c r="J140">
        <v>3.625615119934082</v>
      </c>
      <c r="K140">
        <v>0.86013984680175781</v>
      </c>
      <c r="L140" t="s">
        <v>255</v>
      </c>
      <c r="N140">
        <v>5.4118752479553223</v>
      </c>
      <c r="O140">
        <v>1.4794999361038208</v>
      </c>
      <c r="P140">
        <v>3.4328887462615967</v>
      </c>
      <c r="Q140">
        <v>4.2548012733459473</v>
      </c>
      <c r="S140">
        <v>0.91666668653488159</v>
      </c>
      <c r="T140">
        <v>1</v>
      </c>
      <c r="U140">
        <v>0.76190477609634399</v>
      </c>
      <c r="V140">
        <v>0.78723406791687012</v>
      </c>
      <c r="W140" t="s">
        <v>221</v>
      </c>
      <c r="X140" t="s">
        <v>31</v>
      </c>
      <c r="Y140" t="s">
        <v>222</v>
      </c>
      <c r="Z140" t="s">
        <v>29</v>
      </c>
    </row>
    <row r="141" spans="1:26" x14ac:dyDescent="0.25">
      <c r="A141" t="s">
        <v>179</v>
      </c>
      <c r="B141" t="s">
        <v>438</v>
      </c>
      <c r="C141">
        <v>726017687.74818873</v>
      </c>
      <c r="D141" t="s">
        <v>310</v>
      </c>
      <c r="F141">
        <v>13.5</v>
      </c>
      <c r="G141">
        <v>34.1</v>
      </c>
      <c r="I141">
        <v>2.1400001049041748</v>
      </c>
      <c r="J141">
        <v>4.9358830451965332</v>
      </c>
      <c r="K141">
        <v>0.97326201200485229</v>
      </c>
      <c r="L141" t="s">
        <v>254</v>
      </c>
      <c r="N141">
        <v>3.7430822849273682</v>
      </c>
      <c r="O141">
        <v>4.8182229995727539</v>
      </c>
      <c r="P141">
        <v>5.9862403869628906</v>
      </c>
      <c r="Q141">
        <v>6.4734115600585938</v>
      </c>
      <c r="S141">
        <v>1</v>
      </c>
      <c r="T141">
        <v>1</v>
      </c>
      <c r="U141">
        <v>1</v>
      </c>
      <c r="V141">
        <v>0.90740740299224854</v>
      </c>
      <c r="W141" t="s">
        <v>31</v>
      </c>
      <c r="X141" t="s">
        <v>31</v>
      </c>
      <c r="Y141" t="s">
        <v>31</v>
      </c>
      <c r="Z141" t="s">
        <v>227</v>
      </c>
    </row>
    <row r="142" spans="1:26" x14ac:dyDescent="0.25">
      <c r="A142" t="s">
        <v>180</v>
      </c>
      <c r="B142" t="s">
        <v>439</v>
      </c>
      <c r="C142">
        <v>699998593.85016465</v>
      </c>
      <c r="D142" t="s">
        <v>310</v>
      </c>
      <c r="F142">
        <v>29.4</v>
      </c>
      <c r="G142">
        <v>20</v>
      </c>
      <c r="I142">
        <v>2.9100000858306885</v>
      </c>
      <c r="J142">
        <v>4.4226679801940918</v>
      </c>
      <c r="K142">
        <v>0.9779735803604126</v>
      </c>
      <c r="L142" t="s">
        <v>258</v>
      </c>
      <c r="N142">
        <v>2.7307684421539307</v>
      </c>
      <c r="O142">
        <v>4.4228863716125488</v>
      </c>
      <c r="P142">
        <v>6.6561927795410156</v>
      </c>
      <c r="Q142">
        <v>5.3761053085327148</v>
      </c>
      <c r="S142">
        <v>1</v>
      </c>
      <c r="T142">
        <v>1</v>
      </c>
      <c r="U142">
        <v>1</v>
      </c>
      <c r="V142">
        <v>0.90740740299224854</v>
      </c>
      <c r="W142" t="s">
        <v>31</v>
      </c>
      <c r="X142" t="s">
        <v>31</v>
      </c>
      <c r="Y142" t="s">
        <v>31</v>
      </c>
      <c r="Z142" t="s">
        <v>227</v>
      </c>
    </row>
    <row r="143" spans="1:26" x14ac:dyDescent="0.25">
      <c r="A143" t="s">
        <v>181</v>
      </c>
      <c r="B143" t="s">
        <v>440</v>
      </c>
      <c r="C143">
        <v>625599004.95521927</v>
      </c>
      <c r="D143" t="s">
        <v>385</v>
      </c>
      <c r="F143">
        <v>17.100000000000001</v>
      </c>
      <c r="G143">
        <v>7.1</v>
      </c>
      <c r="I143">
        <v>2.4200000762939453</v>
      </c>
      <c r="J143">
        <v>2.8764147758483887</v>
      </c>
      <c r="K143">
        <v>0.88741719722747803</v>
      </c>
      <c r="L143" t="s">
        <v>226</v>
      </c>
      <c r="N143">
        <v>3.4099881649017334</v>
      </c>
      <c r="O143">
        <v>1.5559971332550049</v>
      </c>
      <c r="P143">
        <v>2.1830070018768311</v>
      </c>
      <c r="Q143">
        <v>5.6573548316955566</v>
      </c>
      <c r="S143">
        <v>0.91379308700561523</v>
      </c>
      <c r="T143">
        <v>1</v>
      </c>
      <c r="U143">
        <v>0.66666668653488159</v>
      </c>
      <c r="V143">
        <v>0.89361703395843506</v>
      </c>
      <c r="W143" t="s">
        <v>227</v>
      </c>
      <c r="X143" t="s">
        <v>31</v>
      </c>
      <c r="Y143" t="s">
        <v>441</v>
      </c>
      <c r="Z143" t="s">
        <v>226</v>
      </c>
    </row>
    <row r="144" spans="1:26" x14ac:dyDescent="0.25">
      <c r="A144" t="s">
        <v>182</v>
      </c>
      <c r="B144" t="s">
        <v>442</v>
      </c>
      <c r="C144">
        <v>620972190.95999992</v>
      </c>
      <c r="D144" t="s">
        <v>229</v>
      </c>
      <c r="F144">
        <v>50.6</v>
      </c>
      <c r="G144">
        <v>78.2</v>
      </c>
      <c r="I144">
        <v>3.7200000286102295</v>
      </c>
      <c r="J144">
        <v>6.6240992546081543</v>
      </c>
      <c r="K144">
        <v>0.98941797018051147</v>
      </c>
      <c r="L144" t="s">
        <v>240</v>
      </c>
      <c r="N144">
        <v>5.5692200660705566</v>
      </c>
      <c r="O144">
        <v>7.6618947982788086</v>
      </c>
      <c r="P144">
        <v>6.1724758148193359</v>
      </c>
      <c r="Q144">
        <v>8.3432731628417969</v>
      </c>
      <c r="S144">
        <v>1</v>
      </c>
      <c r="T144">
        <v>1</v>
      </c>
      <c r="U144">
        <v>0.93103450536727905</v>
      </c>
      <c r="V144">
        <v>1</v>
      </c>
      <c r="W144" t="s">
        <v>31</v>
      </c>
      <c r="X144" t="s">
        <v>31</v>
      </c>
      <c r="Y144" t="s">
        <v>225</v>
      </c>
      <c r="Z144" t="s">
        <v>31</v>
      </c>
    </row>
    <row r="145" spans="1:26" x14ac:dyDescent="0.25">
      <c r="A145" t="s">
        <v>183</v>
      </c>
      <c r="B145" t="s">
        <v>443</v>
      </c>
      <c r="C145">
        <v>616838640.89972961</v>
      </c>
      <c r="D145" t="s">
        <v>287</v>
      </c>
      <c r="F145">
        <v>1.2</v>
      </c>
      <c r="G145">
        <v>4.0999999999999996</v>
      </c>
      <c r="I145">
        <v>0.88999998569488525</v>
      </c>
      <c r="J145">
        <v>2.6288504600524902</v>
      </c>
      <c r="K145">
        <v>0.76436781883239746</v>
      </c>
      <c r="L145" t="s">
        <v>222</v>
      </c>
      <c r="N145">
        <v>4.2168159484863281</v>
      </c>
      <c r="O145">
        <v>0.69975602626800537</v>
      </c>
      <c r="P145">
        <v>3.3744027614593506</v>
      </c>
      <c r="Q145">
        <v>1.9283041954040527</v>
      </c>
      <c r="S145">
        <v>0.91935485601425171</v>
      </c>
      <c r="T145">
        <v>0.79545456171035767</v>
      </c>
      <c r="U145">
        <v>1</v>
      </c>
      <c r="V145">
        <v>0.5</v>
      </c>
      <c r="W145" t="s">
        <v>221</v>
      </c>
      <c r="X145" t="s">
        <v>44</v>
      </c>
      <c r="Y145" t="s">
        <v>31</v>
      </c>
      <c r="Z145" t="s">
        <v>86</v>
      </c>
    </row>
    <row r="146" spans="1:26" x14ac:dyDescent="0.25">
      <c r="A146" t="s">
        <v>184</v>
      </c>
      <c r="B146" t="s">
        <v>444</v>
      </c>
      <c r="C146">
        <v>614149454.87999988</v>
      </c>
      <c r="D146" t="s">
        <v>229</v>
      </c>
      <c r="F146">
        <v>11.2</v>
      </c>
      <c r="G146">
        <v>75.3</v>
      </c>
      <c r="I146">
        <v>1.940000057220459</v>
      </c>
      <c r="J146">
        <v>6.4937787055969238</v>
      </c>
      <c r="K146">
        <v>0.99180328845977783</v>
      </c>
      <c r="L146" t="s">
        <v>240</v>
      </c>
      <c r="N146">
        <v>6.9999070167541504</v>
      </c>
      <c r="O146">
        <v>8.1386146545410156</v>
      </c>
      <c r="P146">
        <v>3.0398714542388916</v>
      </c>
      <c r="Q146">
        <v>9.5998430252075195</v>
      </c>
      <c r="S146">
        <v>1</v>
      </c>
      <c r="T146">
        <v>1</v>
      </c>
      <c r="U146">
        <v>0.93103450536727905</v>
      </c>
      <c r="V146">
        <v>1</v>
      </c>
      <c r="W146" t="s">
        <v>31</v>
      </c>
      <c r="X146" t="s">
        <v>31</v>
      </c>
      <c r="Y146" t="s">
        <v>225</v>
      </c>
      <c r="Z146" t="s">
        <v>31</v>
      </c>
    </row>
    <row r="147" spans="1:26" x14ac:dyDescent="0.25">
      <c r="A147" t="s">
        <v>185</v>
      </c>
      <c r="B147" t="s">
        <v>445</v>
      </c>
      <c r="C147">
        <v>569774760.03584969</v>
      </c>
      <c r="D147" t="s">
        <v>423</v>
      </c>
      <c r="F147">
        <v>8.8000000000000007</v>
      </c>
      <c r="G147">
        <v>1.8</v>
      </c>
      <c r="I147">
        <v>1.3899999856948853</v>
      </c>
      <c r="J147">
        <v>1.9504150152206421</v>
      </c>
      <c r="K147">
        <v>0.75409835577011108</v>
      </c>
      <c r="L147" t="s">
        <v>446</v>
      </c>
      <c r="N147">
        <v>3.5060465335845947</v>
      </c>
      <c r="O147">
        <v>0</v>
      </c>
      <c r="P147">
        <v>5.9608311653137207</v>
      </c>
      <c r="Q147">
        <v>2.8549628257751465</v>
      </c>
      <c r="S147">
        <v>0.91666668653488159</v>
      </c>
      <c r="T147">
        <v>1</v>
      </c>
      <c r="U147">
        <v>1</v>
      </c>
      <c r="V147">
        <v>0.46808511018753052</v>
      </c>
      <c r="W147" t="s">
        <v>221</v>
      </c>
      <c r="X147" t="s">
        <v>31</v>
      </c>
      <c r="Y147" t="s">
        <v>31</v>
      </c>
      <c r="Z147" t="s">
        <v>447</v>
      </c>
    </row>
    <row r="148" spans="1:26" x14ac:dyDescent="0.25">
      <c r="A148" t="s">
        <v>186</v>
      </c>
      <c r="B148" t="s">
        <v>448</v>
      </c>
      <c r="C148">
        <v>520876473.05999994</v>
      </c>
      <c r="D148" t="s">
        <v>229</v>
      </c>
      <c r="F148">
        <v>15.3</v>
      </c>
      <c r="G148">
        <v>85.9</v>
      </c>
      <c r="I148">
        <v>2.3399999141693115</v>
      </c>
      <c r="J148">
        <v>7.1368327140808105</v>
      </c>
      <c r="K148">
        <v>0.98360657691955566</v>
      </c>
      <c r="L148" t="s">
        <v>258</v>
      </c>
      <c r="N148">
        <v>7.6230034828186035</v>
      </c>
      <c r="O148">
        <v>7.7465367317199707</v>
      </c>
      <c r="P148">
        <v>5.368706226348877</v>
      </c>
      <c r="Q148">
        <v>8.1649017333984375</v>
      </c>
      <c r="S148">
        <v>1</v>
      </c>
      <c r="T148">
        <v>1</v>
      </c>
      <c r="U148">
        <v>0.86206895112991333</v>
      </c>
      <c r="V148">
        <v>1</v>
      </c>
      <c r="W148" t="s">
        <v>31</v>
      </c>
      <c r="X148" t="s">
        <v>31</v>
      </c>
      <c r="Y148" t="s">
        <v>255</v>
      </c>
      <c r="Z148" t="s">
        <v>31</v>
      </c>
    </row>
    <row r="149" spans="1:26" x14ac:dyDescent="0.25">
      <c r="A149" t="s">
        <v>187</v>
      </c>
      <c r="B149" t="s">
        <v>449</v>
      </c>
      <c r="C149">
        <v>478041750.41474712</v>
      </c>
      <c r="D149" t="s">
        <v>278</v>
      </c>
      <c r="F149">
        <v>71.8</v>
      </c>
      <c r="G149">
        <v>57.6</v>
      </c>
      <c r="I149">
        <v>4.369999885559082</v>
      </c>
      <c r="J149">
        <v>5.6549491882324219</v>
      </c>
      <c r="K149">
        <v>1</v>
      </c>
      <c r="L149" t="s">
        <v>31</v>
      </c>
      <c r="N149">
        <v>4.8218250274658203</v>
      </c>
      <c r="O149">
        <v>5.0198116302490234</v>
      </c>
      <c r="P149">
        <v>5.2843050956726074</v>
      </c>
      <c r="Q149">
        <v>9.8512916564941406</v>
      </c>
      <c r="S149">
        <v>1</v>
      </c>
      <c r="T149">
        <v>1</v>
      </c>
      <c r="U149">
        <v>1</v>
      </c>
      <c r="V149">
        <v>1</v>
      </c>
      <c r="W149" t="s">
        <v>31</v>
      </c>
      <c r="X149" t="s">
        <v>31</v>
      </c>
      <c r="Y149" t="s">
        <v>31</v>
      </c>
      <c r="Z149" t="s">
        <v>31</v>
      </c>
    </row>
    <row r="150" spans="1:26" x14ac:dyDescent="0.25">
      <c r="A150" t="s">
        <v>188</v>
      </c>
      <c r="B150" t="s">
        <v>450</v>
      </c>
      <c r="C150">
        <v>383371076.48924619</v>
      </c>
      <c r="D150" t="s">
        <v>235</v>
      </c>
      <c r="F150">
        <v>14.1</v>
      </c>
      <c r="G150">
        <v>31.8</v>
      </c>
      <c r="I150">
        <v>2.1700000762939453</v>
      </c>
      <c r="J150">
        <v>4.7763566970825195</v>
      </c>
      <c r="K150">
        <v>0.96598637104034424</v>
      </c>
      <c r="L150" t="s">
        <v>254</v>
      </c>
      <c r="N150">
        <v>5.2356662750244141</v>
      </c>
      <c r="O150">
        <v>1.6157662868499756</v>
      </c>
      <c r="P150">
        <v>6.6920890808105469</v>
      </c>
      <c r="Q150">
        <v>7.2505168914794922</v>
      </c>
      <c r="S150">
        <v>1</v>
      </c>
      <c r="T150">
        <v>1</v>
      </c>
      <c r="U150">
        <v>1</v>
      </c>
      <c r="V150">
        <v>0.89361703395843506</v>
      </c>
      <c r="W150" t="s">
        <v>31</v>
      </c>
      <c r="X150" t="s">
        <v>31</v>
      </c>
      <c r="Y150" t="s">
        <v>31</v>
      </c>
      <c r="Z150" t="s">
        <v>226</v>
      </c>
    </row>
    <row r="151" spans="1:26" x14ac:dyDescent="0.25">
      <c r="A151" t="s">
        <v>189</v>
      </c>
      <c r="B151" t="s">
        <v>451</v>
      </c>
      <c r="C151">
        <v>320380275.65593505</v>
      </c>
      <c r="D151" t="s">
        <v>235</v>
      </c>
      <c r="F151">
        <v>7.6</v>
      </c>
      <c r="G151">
        <v>44.7</v>
      </c>
      <c r="I151">
        <v>1.2999999523162842</v>
      </c>
      <c r="J151">
        <v>5.2679543495178223</v>
      </c>
      <c r="K151">
        <v>1</v>
      </c>
      <c r="L151" t="s">
        <v>31</v>
      </c>
      <c r="N151">
        <v>4.6187806129455566</v>
      </c>
      <c r="O151">
        <v>1.6157662868499756</v>
      </c>
      <c r="P151">
        <v>8.5091238021850586</v>
      </c>
      <c r="Q151">
        <v>10</v>
      </c>
      <c r="S151">
        <v>1</v>
      </c>
      <c r="T151">
        <v>1</v>
      </c>
      <c r="U151">
        <v>1</v>
      </c>
      <c r="V151">
        <v>1</v>
      </c>
      <c r="W151" t="s">
        <v>31</v>
      </c>
      <c r="X151" t="s">
        <v>31</v>
      </c>
      <c r="Y151" t="s">
        <v>31</v>
      </c>
      <c r="Z151" t="s">
        <v>31</v>
      </c>
    </row>
    <row r="152" spans="1:26" x14ac:dyDescent="0.25">
      <c r="A152" t="s">
        <v>190</v>
      </c>
      <c r="B152" t="s">
        <v>452</v>
      </c>
      <c r="C152">
        <v>310185558.46006799</v>
      </c>
      <c r="D152" t="s">
        <v>453</v>
      </c>
      <c r="F152">
        <v>14.7</v>
      </c>
      <c r="G152">
        <v>38.799999999999997</v>
      </c>
      <c r="I152">
        <v>2.25</v>
      </c>
      <c r="J152">
        <v>5.0728116035461426</v>
      </c>
      <c r="K152">
        <v>0.90697675943374634</v>
      </c>
      <c r="L152" t="s">
        <v>227</v>
      </c>
      <c r="N152">
        <v>5.2982597351074219</v>
      </c>
      <c r="O152">
        <v>4.9380946159362793</v>
      </c>
      <c r="P152">
        <v>3.7414612770080566</v>
      </c>
      <c r="Q152">
        <v>7.2805986404418945</v>
      </c>
      <c r="S152">
        <v>0.91666668653488159</v>
      </c>
      <c r="T152">
        <v>0.9375</v>
      </c>
      <c r="U152">
        <v>0.76190477609634399</v>
      </c>
      <c r="V152">
        <v>0.90740740299224854</v>
      </c>
      <c r="W152" t="s">
        <v>221</v>
      </c>
      <c r="X152" t="s">
        <v>51</v>
      </c>
      <c r="Y152" t="s">
        <v>222</v>
      </c>
      <c r="Z152" t="s">
        <v>227</v>
      </c>
    </row>
    <row r="153" spans="1:26" x14ac:dyDescent="0.25">
      <c r="A153" t="s">
        <v>191</v>
      </c>
      <c r="B153" t="s">
        <v>454</v>
      </c>
      <c r="C153">
        <v>309853347.28045899</v>
      </c>
      <c r="D153" t="s">
        <v>268</v>
      </c>
      <c r="F153">
        <v>40</v>
      </c>
      <c r="G153">
        <v>32.4</v>
      </c>
      <c r="I153">
        <v>3.2599999904632568</v>
      </c>
      <c r="J153">
        <v>4.8603339195251465</v>
      </c>
      <c r="K153">
        <v>0.93670886754989624</v>
      </c>
      <c r="L153" t="s">
        <v>51</v>
      </c>
      <c r="N153">
        <v>3.2586994171142578</v>
      </c>
      <c r="O153">
        <v>4.9534916877746582</v>
      </c>
      <c r="P153">
        <v>7.3777651786804199</v>
      </c>
      <c r="Q153">
        <v>4.9290246963500977</v>
      </c>
      <c r="S153">
        <v>0.91935485601425171</v>
      </c>
      <c r="T153">
        <v>1</v>
      </c>
      <c r="U153">
        <v>1</v>
      </c>
      <c r="V153">
        <v>0.89361703395843506</v>
      </c>
      <c r="W153" t="s">
        <v>221</v>
      </c>
      <c r="X153" t="s">
        <v>31</v>
      </c>
      <c r="Y153" t="s">
        <v>31</v>
      </c>
      <c r="Z153" t="s">
        <v>226</v>
      </c>
    </row>
    <row r="154" spans="1:26" x14ac:dyDescent="0.25">
      <c r="A154" t="s">
        <v>192</v>
      </c>
      <c r="B154" t="s">
        <v>455</v>
      </c>
      <c r="C154">
        <v>285313186.65340084</v>
      </c>
      <c r="D154" t="s">
        <v>265</v>
      </c>
      <c r="F154">
        <v>24.1</v>
      </c>
      <c r="G154">
        <v>12.4</v>
      </c>
      <c r="I154">
        <v>2.6600000858306885</v>
      </c>
      <c r="J154">
        <v>3.8173007965087891</v>
      </c>
      <c r="K154">
        <v>0.87878787517547607</v>
      </c>
      <c r="L154" t="s">
        <v>33</v>
      </c>
      <c r="N154">
        <v>4.4129509925842285</v>
      </c>
      <c r="O154">
        <v>1.4794999361038208</v>
      </c>
      <c r="P154">
        <v>4.3173909187316895</v>
      </c>
      <c r="Q154">
        <v>6.448845386505127</v>
      </c>
      <c r="S154">
        <v>1</v>
      </c>
      <c r="T154">
        <v>0.57142859697341919</v>
      </c>
      <c r="U154">
        <v>1</v>
      </c>
      <c r="V154">
        <v>0.89361703395843506</v>
      </c>
      <c r="W154" t="s">
        <v>31</v>
      </c>
      <c r="X154" t="s">
        <v>266</v>
      </c>
      <c r="Y154" t="s">
        <v>31</v>
      </c>
      <c r="Z154" t="s">
        <v>226</v>
      </c>
    </row>
    <row r="155" spans="1:26" x14ac:dyDescent="0.25">
      <c r="A155" t="s">
        <v>193</v>
      </c>
      <c r="B155" t="s">
        <v>456</v>
      </c>
      <c r="C155">
        <v>265439182.63573477</v>
      </c>
      <c r="D155" t="s">
        <v>233</v>
      </c>
      <c r="F155">
        <v>42.4</v>
      </c>
      <c r="G155">
        <v>4.7</v>
      </c>
      <c r="I155">
        <v>3.369999885559082</v>
      </c>
      <c r="J155">
        <v>2.7183735370635986</v>
      </c>
      <c r="K155">
        <v>0.7834395170211792</v>
      </c>
      <c r="L155" t="s">
        <v>52</v>
      </c>
      <c r="N155">
        <v>3.5107314586639404</v>
      </c>
      <c r="O155">
        <v>9.4339379575103521E-4</v>
      </c>
      <c r="P155">
        <v>4.9069132804870605</v>
      </c>
      <c r="Q155">
        <v>3.7421486377716064</v>
      </c>
      <c r="S155">
        <v>0.89583331346511841</v>
      </c>
      <c r="T155">
        <v>0.58823531866073608</v>
      </c>
      <c r="U155">
        <v>1</v>
      </c>
      <c r="V155">
        <v>0.72222220897674561</v>
      </c>
      <c r="W155" t="s">
        <v>322</v>
      </c>
      <c r="X155" t="s">
        <v>43</v>
      </c>
      <c r="Y155" t="s">
        <v>31</v>
      </c>
      <c r="Z155" t="s">
        <v>457</v>
      </c>
    </row>
    <row r="156" spans="1:26" x14ac:dyDescent="0.25">
      <c r="A156" t="s">
        <v>194</v>
      </c>
      <c r="B156" t="s">
        <v>458</v>
      </c>
      <c r="C156">
        <v>247804688.53396928</v>
      </c>
      <c r="D156" t="s">
        <v>395</v>
      </c>
      <c r="F156">
        <v>32.4</v>
      </c>
      <c r="G156">
        <v>76.5</v>
      </c>
      <c r="I156">
        <v>2.9900000095367432</v>
      </c>
      <c r="J156">
        <v>6.5439162254333496</v>
      </c>
      <c r="K156">
        <v>0.94318181276321411</v>
      </c>
      <c r="L156" t="s">
        <v>51</v>
      </c>
      <c r="N156">
        <v>5.9665741920471191</v>
      </c>
      <c r="O156">
        <v>7.1585726737976074</v>
      </c>
      <c r="P156">
        <v>7.3190302848815918</v>
      </c>
      <c r="Q156">
        <v>5.6920061111450195</v>
      </c>
      <c r="S156">
        <v>0.91379308700561523</v>
      </c>
      <c r="T156">
        <v>1</v>
      </c>
      <c r="U156">
        <v>1</v>
      </c>
      <c r="V156">
        <v>0.89361703395843506</v>
      </c>
      <c r="W156" t="s">
        <v>227</v>
      </c>
      <c r="X156" t="s">
        <v>31</v>
      </c>
      <c r="Y156" t="s">
        <v>31</v>
      </c>
      <c r="Z156" t="s">
        <v>226</v>
      </c>
    </row>
    <row r="157" spans="1:26" x14ac:dyDescent="0.25">
      <c r="A157" t="s">
        <v>195</v>
      </c>
      <c r="B157" t="s">
        <v>459</v>
      </c>
      <c r="C157">
        <v>247293571.72189471</v>
      </c>
      <c r="D157" t="s">
        <v>235</v>
      </c>
      <c r="F157">
        <v>4.7</v>
      </c>
      <c r="G157">
        <v>44.1</v>
      </c>
      <c r="I157">
        <v>1.2100000381469727</v>
      </c>
      <c r="J157">
        <v>5.2673811912536621</v>
      </c>
      <c r="K157">
        <v>1</v>
      </c>
      <c r="L157" t="s">
        <v>31</v>
      </c>
      <c r="N157">
        <v>4.6955704689025879</v>
      </c>
      <c r="O157">
        <v>1.4794999361038208</v>
      </c>
      <c r="P157">
        <v>8.6302022933959961</v>
      </c>
      <c r="Q157">
        <v>10</v>
      </c>
      <c r="S157">
        <v>1</v>
      </c>
      <c r="T157">
        <v>1</v>
      </c>
      <c r="U157">
        <v>1</v>
      </c>
      <c r="V157">
        <v>1</v>
      </c>
      <c r="W157" t="s">
        <v>31</v>
      </c>
      <c r="X157" t="s">
        <v>31</v>
      </c>
      <c r="Y157" t="s">
        <v>31</v>
      </c>
      <c r="Z157" t="s">
        <v>31</v>
      </c>
    </row>
    <row r="158" spans="1:26" x14ac:dyDescent="0.25">
      <c r="A158" t="s">
        <v>196</v>
      </c>
      <c r="B158" t="s">
        <v>460</v>
      </c>
      <c r="C158">
        <v>222690279.28675127</v>
      </c>
      <c r="D158" t="s">
        <v>235</v>
      </c>
      <c r="F158">
        <v>7.1</v>
      </c>
      <c r="G158">
        <v>33.5</v>
      </c>
      <c r="I158">
        <v>1.2899999618530273</v>
      </c>
      <c r="J158">
        <v>4.8916716575622559</v>
      </c>
      <c r="K158">
        <v>1</v>
      </c>
      <c r="L158" t="s">
        <v>31</v>
      </c>
      <c r="N158">
        <v>5.3676643371582031</v>
      </c>
      <c r="O158">
        <v>1.4794999361038208</v>
      </c>
      <c r="P158">
        <v>6.6238489151000977</v>
      </c>
      <c r="Q158">
        <v>8.3640193939208984</v>
      </c>
      <c r="S158">
        <v>1</v>
      </c>
      <c r="T158">
        <v>1</v>
      </c>
      <c r="U158">
        <v>1</v>
      </c>
      <c r="V158">
        <v>1</v>
      </c>
      <c r="W158" t="s">
        <v>31</v>
      </c>
      <c r="X158" t="s">
        <v>31</v>
      </c>
      <c r="Y158" t="s">
        <v>31</v>
      </c>
      <c r="Z158" t="s">
        <v>31</v>
      </c>
    </row>
    <row r="159" spans="1:26" x14ac:dyDescent="0.25">
      <c r="A159" t="s">
        <v>197</v>
      </c>
      <c r="B159" t="s">
        <v>461</v>
      </c>
      <c r="C159">
        <v>198094528.81394514</v>
      </c>
      <c r="D159" t="s">
        <v>237</v>
      </c>
      <c r="F159" t="s">
        <v>238</v>
      </c>
      <c r="G159" t="s">
        <v>238</v>
      </c>
      <c r="I159" t="s">
        <v>238</v>
      </c>
      <c r="J159" t="s">
        <v>238</v>
      </c>
      <c r="K159" t="s">
        <v>238</v>
      </c>
      <c r="N159" t="s">
        <v>238</v>
      </c>
      <c r="O159" t="s">
        <v>238</v>
      </c>
      <c r="P159" t="s">
        <v>238</v>
      </c>
      <c r="Q159" t="s">
        <v>238</v>
      </c>
      <c r="S159" t="s">
        <v>238</v>
      </c>
      <c r="T159" t="s">
        <v>238</v>
      </c>
      <c r="U159" t="s">
        <v>238</v>
      </c>
      <c r="V159" t="s">
        <v>238</v>
      </c>
    </row>
    <row r="160" spans="1:26" x14ac:dyDescent="0.25">
      <c r="A160" t="s">
        <v>198</v>
      </c>
      <c r="B160" t="s">
        <v>462</v>
      </c>
      <c r="C160">
        <v>98588373.523990855</v>
      </c>
      <c r="D160" t="s">
        <v>325</v>
      </c>
      <c r="F160">
        <v>66.5</v>
      </c>
      <c r="G160">
        <v>30.6</v>
      </c>
      <c r="I160">
        <v>4.25</v>
      </c>
      <c r="J160">
        <v>4.7418274879455566</v>
      </c>
      <c r="K160">
        <v>0.96688741445541382</v>
      </c>
      <c r="L160" t="s">
        <v>254</v>
      </c>
      <c r="N160">
        <v>5.9799609184265137</v>
      </c>
      <c r="O160">
        <v>1.9640927314758301</v>
      </c>
      <c r="P160">
        <v>6.3869895935058594</v>
      </c>
      <c r="Q160">
        <v>4.8042683601379395</v>
      </c>
      <c r="S160">
        <v>1</v>
      </c>
      <c r="T160">
        <v>1</v>
      </c>
      <c r="U160">
        <v>1</v>
      </c>
      <c r="V160">
        <v>0.89361703395843506</v>
      </c>
      <c r="W160" t="s">
        <v>31</v>
      </c>
      <c r="X160" t="s">
        <v>31</v>
      </c>
      <c r="Y160" t="s">
        <v>31</v>
      </c>
      <c r="Z160" t="s">
        <v>226</v>
      </c>
    </row>
    <row r="161" spans="1:26" x14ac:dyDescent="0.25">
      <c r="A161" t="s">
        <v>199</v>
      </c>
      <c r="B161" t="s">
        <v>463</v>
      </c>
      <c r="C161">
        <v>59198034.57857091</v>
      </c>
      <c r="D161" t="s">
        <v>237</v>
      </c>
      <c r="F161" t="s">
        <v>238</v>
      </c>
      <c r="G161" t="s">
        <v>238</v>
      </c>
      <c r="I161" t="s">
        <v>238</v>
      </c>
      <c r="J161" t="s">
        <v>238</v>
      </c>
      <c r="K161" t="s">
        <v>238</v>
      </c>
      <c r="N161" t="s">
        <v>238</v>
      </c>
      <c r="O161" t="s">
        <v>238</v>
      </c>
      <c r="P161" t="s">
        <v>238</v>
      </c>
      <c r="Q161" t="s">
        <v>238</v>
      </c>
      <c r="S161" t="s">
        <v>238</v>
      </c>
      <c r="T161" t="s">
        <v>238</v>
      </c>
      <c r="U161" t="s">
        <v>238</v>
      </c>
      <c r="V161" t="s">
        <v>238</v>
      </c>
    </row>
    <row r="162" spans="1:26" x14ac:dyDescent="0.25">
      <c r="A162" t="s">
        <v>200</v>
      </c>
      <c r="B162" t="s">
        <v>464</v>
      </c>
      <c r="C162">
        <v>46261143.940202296</v>
      </c>
      <c r="D162" t="s">
        <v>299</v>
      </c>
      <c r="F162">
        <v>24.7</v>
      </c>
      <c r="G162">
        <v>63.5</v>
      </c>
      <c r="I162">
        <v>2.7400000095367432</v>
      </c>
      <c r="J162">
        <v>6.0423870086669922</v>
      </c>
      <c r="K162">
        <v>1</v>
      </c>
      <c r="L162" t="s">
        <v>31</v>
      </c>
      <c r="N162">
        <v>7.3710360527038574</v>
      </c>
      <c r="O162">
        <v>3.5080139636993408</v>
      </c>
      <c r="P162">
        <v>5.9608311653137207</v>
      </c>
      <c r="Q162">
        <v>7.9969849586486816</v>
      </c>
      <c r="S162">
        <v>1</v>
      </c>
      <c r="T162">
        <v>1</v>
      </c>
      <c r="U162">
        <v>1</v>
      </c>
      <c r="V162">
        <v>1</v>
      </c>
      <c r="W162" t="s">
        <v>31</v>
      </c>
      <c r="X162" t="s">
        <v>31</v>
      </c>
      <c r="Y162" t="s">
        <v>31</v>
      </c>
      <c r="Z162" t="s">
        <v>31</v>
      </c>
    </row>
    <row r="163" spans="1:26" x14ac:dyDescent="0.25">
      <c r="A163" t="s">
        <v>201</v>
      </c>
      <c r="B163" t="s">
        <v>465</v>
      </c>
      <c r="C163">
        <v>28683378.459908012</v>
      </c>
      <c r="D163" t="s">
        <v>237</v>
      </c>
      <c r="F163" t="s">
        <v>238</v>
      </c>
      <c r="G163" t="s">
        <v>238</v>
      </c>
      <c r="I163" t="s">
        <v>238</v>
      </c>
      <c r="J163" t="s">
        <v>238</v>
      </c>
      <c r="K163" t="s">
        <v>238</v>
      </c>
      <c r="N163" t="s">
        <v>238</v>
      </c>
      <c r="O163" t="s">
        <v>238</v>
      </c>
      <c r="P163" t="s">
        <v>238</v>
      </c>
      <c r="Q163" t="s">
        <v>238</v>
      </c>
      <c r="S163" t="s">
        <v>238</v>
      </c>
      <c r="T163" t="s">
        <v>238</v>
      </c>
      <c r="U163" t="s">
        <v>238</v>
      </c>
      <c r="V163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</vt:lpstr>
      <vt:lpstr>Social</vt:lpstr>
      <vt:lpstr>Governance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1PG2025_Hrishikesh Bhave</cp:lastModifiedBy>
  <dcterms:created xsi:type="dcterms:W3CDTF">2013-04-03T15:49:21Z</dcterms:created>
  <dcterms:modified xsi:type="dcterms:W3CDTF">2026-04-13T06:02:40Z</dcterms:modified>
</cp:coreProperties>
</file>